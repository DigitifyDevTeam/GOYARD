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walio\Desktop\Workspace\brasenplus\"/>
    </mc:Choice>
  </mc:AlternateContent>
  <xr:revisionPtr revIDLastSave="0" documentId="8_{24D16724-757F-4A8E-B9FD-7623DD86FB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cklog 1" sheetId="4" r:id="rId1"/>
    <sheet name="Sprints" sheetId="2" r:id="rId2"/>
  </sheets>
  <definedNames>
    <definedName name="_xlnm._FilterDatabase" localSheetId="0" hidden="1">'Backlog 1'!$E$62:$G$74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4" l="1"/>
  <c r="D93" i="4"/>
  <c r="C84" i="2"/>
  <c r="B84" i="2"/>
  <c r="C68" i="2"/>
  <c r="B68" i="2"/>
  <c r="C11" i="2"/>
  <c r="B42" i="2"/>
  <c r="C42" i="2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tc={81A89CC0-70B2-4F66-AA48-B14133B94FA2}</author>
    <author>tc={EDF95D8F-0009-44ED-90F8-E4F418B3FAE5}</author>
  </authors>
  <commentList>
    <comment ref="B6" authorId="0" shapeId="0" xr:uid="{81A89CC0-70B2-4F66-AA48-B14133B94F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faut expliquer avec des détail cette tache.
Réponse :
    Mettre en place une API REST côté backend qui permet de :
Recevoir les données du formulaire (POST /api/client) Sauvegarder dans la base de données (table Client)</t>
      </text>
    </comment>
    <comment ref="B10" authorId="1" shapeId="0" xr:uid="{EDF95D8F-0009-44ED-90F8-E4F418B3FA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c'est en relation avec la story : Méthode alternative via photos, n'est ce pas ? 
Réponse :
    non, ce ne sont pas les mêmes</t>
      </text>
    </comment>
  </commentList>
</comments>
</file>

<file path=xl/sharedStrings.xml><?xml version="1.0" encoding="utf-8"?>
<sst xmlns="http://schemas.openxmlformats.org/spreadsheetml/2006/main" count="418" uniqueCount="215">
  <si>
    <t>Backlog Projet GoYard</t>
  </si>
  <si>
    <t>ID</t>
  </si>
  <si>
    <t xml:space="preserve">Stories &amp; Tasks </t>
  </si>
  <si>
    <t>Charges estimés (j)</t>
  </si>
  <si>
    <t>Priority</t>
  </si>
  <si>
    <t>Status</t>
  </si>
  <si>
    <t xml:space="preserve">Sprint </t>
  </si>
  <si>
    <t>Prerequis / Comments</t>
  </si>
  <si>
    <t>Story 1</t>
  </si>
  <si>
    <t>Collecte des informations client</t>
  </si>
  <si>
    <t>Task 1.1</t>
  </si>
  <si>
    <t>Créer formulaire de saisie (Mon déménagement, Date, Nom, Prénom, Email, Téléphone)</t>
  </si>
  <si>
    <t xml:space="preserve">Done </t>
  </si>
  <si>
    <t>Task 1.2</t>
  </si>
  <si>
    <t>Valider les champs (formats email/téléphone, champs obligatoires)</t>
  </si>
  <si>
    <t>Task 1.3</t>
  </si>
  <si>
    <t>Développer l’API de gestion des clients (POST création +  enregistrement BDD)</t>
  </si>
  <si>
    <t>Task 1.4</t>
  </si>
  <si>
    <t>Tester l'api gestion des clients</t>
  </si>
  <si>
    <t>Task 1.5</t>
  </si>
  <si>
    <t>connecter le frontend avec  gestion de client api</t>
  </si>
  <si>
    <t xml:space="preserve">Stroy 2 </t>
  </si>
  <si>
    <t>Methode1: Saisie manuelle des objets à déménager</t>
  </si>
  <si>
    <t> </t>
  </si>
  <si>
    <t>Task 2.1</t>
  </si>
  <si>
    <t>Créer interface de sélection pièce par pièce</t>
  </si>
  <si>
    <t>Task 2.2</t>
  </si>
  <si>
    <t>ajout des nouvelle classe par room</t>
  </si>
  <si>
    <t>Task 2.3</t>
  </si>
  <si>
    <t>correction les volumes pour les objets</t>
  </si>
  <si>
    <t>Task 2.4</t>
  </si>
  <si>
    <t>Gérer la saisie des quantités</t>
  </si>
  <si>
    <t>Task 2.5</t>
  </si>
  <si>
    <t>Sauvegarder et output  liste d’objets choisis via api</t>
  </si>
  <si>
    <t>Task 2.6</t>
  </si>
  <si>
    <t>Valider les champs  de selection d'objets</t>
  </si>
  <si>
    <t>Task 2.7</t>
  </si>
  <si>
    <t>Tester lapi de objet_manuel</t>
  </si>
  <si>
    <t>Task 2.8</t>
  </si>
  <si>
    <t>connecter le frontend avec api de liste objet</t>
  </si>
  <si>
    <t>Task 2.9</t>
  </si>
  <si>
    <t>améliorer the api de selection_d'objet pour  ajouter l'ajout d'un nouveau piéce et ajouter ses validations</t>
  </si>
  <si>
    <t>Task 2.10</t>
  </si>
  <si>
    <t>Calculer volume estimé en fonction des objets</t>
  </si>
  <si>
    <t>Task 2.11</t>
  </si>
  <si>
    <t>output le devis finale en fct de volum totale</t>
  </si>
  <si>
    <t>Stroy 3</t>
  </si>
  <si>
    <t>Déclaration d’objets spécifiques/lourds</t>
  </si>
  <si>
    <t>Task 3.1</t>
  </si>
  <si>
    <t>Créer interface de saisie d’objets lourds/spéciaux</t>
  </si>
  <si>
    <t>Task 3.2</t>
  </si>
  <si>
    <t>Sauvegarder et output liste d’objets Lourd choisis via api (backend)</t>
  </si>
  <si>
    <t>Task 3.3</t>
  </si>
  <si>
    <t>Valider les champs et Tester lapi de objet_lourd</t>
  </si>
  <si>
    <t>Task 3.4</t>
  </si>
  <si>
    <t>connecter le frontend avec api de liste objet lourd</t>
  </si>
  <si>
    <t>Task 3.5</t>
  </si>
  <si>
    <t>Permettre saisie “Autres” objets personnalisés et sauvegardé dans lapi</t>
  </si>
  <si>
    <t>Task 3.6</t>
  </si>
  <si>
    <t xml:space="preserve">mise a jour l '"objets_lourds"  dans toutes les api </t>
  </si>
  <si>
    <t>Task 3.7</t>
  </si>
  <si>
    <t>Intégrer surcoût/manutention spéciale dans le devis</t>
  </si>
  <si>
    <t>x</t>
  </si>
  <si>
    <t xml:space="preserve">Not started </t>
  </si>
  <si>
    <t>Stroy 4</t>
  </si>
  <si>
    <t>Méthode2:  approach alternative via photos</t>
  </si>
  <si>
    <t>Task 4.1</t>
  </si>
  <si>
    <t>Interface pour upload des photos par pièce</t>
  </si>
  <si>
    <t>Task 4.2</t>
  </si>
  <si>
    <t>cree un model ai de reconnaissance d’objets complet</t>
  </si>
  <si>
    <t>5x</t>
  </si>
  <si>
    <t xml:space="preserve">In Progress </t>
  </si>
  <si>
    <t>Task 4,3</t>
  </si>
  <si>
    <t>converter les image non supporté  vers lextension jpeg</t>
  </si>
  <si>
    <t>Task 4.4</t>
  </si>
  <si>
    <t>mapping les objets de model par notre objects</t>
  </si>
  <si>
    <t>Task 4.5</t>
  </si>
  <si>
    <t>ajouter les nouveaux class dans le model</t>
  </si>
  <si>
    <t>Task 4.6</t>
  </si>
  <si>
    <t>cree un api de notre model pour connecter backend par le frontend</t>
  </si>
  <si>
    <t>Task 4.7</t>
  </si>
  <si>
    <t>ajouter un dictionnaire de volume de chaque objet</t>
  </si>
  <si>
    <t>Task 4.8</t>
  </si>
  <si>
    <t>creation de  devis en fct de volume</t>
  </si>
  <si>
    <t>Task 4.9</t>
  </si>
  <si>
    <t>connecter le frontend avec api ai</t>
  </si>
  <si>
    <t>Task 4,10</t>
  </si>
  <si>
    <t>change the output de api par un output detaillé de chaque room</t>
  </si>
  <si>
    <t>Task 4,11</t>
  </si>
  <si>
    <t>différencier prediction de ia et objet lourd dans l'api</t>
  </si>
  <si>
    <t>Task 4,12</t>
  </si>
  <si>
    <t>convert the ai service to fast_api</t>
  </si>
  <si>
    <t>Stroy 5</t>
  </si>
  <si>
    <t>Méthode3:  devis en fct de superficille</t>
  </si>
  <si>
    <t>Task 5.1</t>
  </si>
  <si>
    <t>Interface pour Renseignez la surface du logement à déménager</t>
  </si>
  <si>
    <t>Task 5.2</t>
  </si>
  <si>
    <t>Définir algorithme de calcul volume</t>
  </si>
  <si>
    <t>Task 5.3</t>
  </si>
  <si>
    <t>Task 5.4</t>
  </si>
  <si>
    <t xml:space="preserve">Développer l’API de superfecille </t>
  </si>
  <si>
    <t>Task 5.5</t>
  </si>
  <si>
    <t>Valider les champs et Tester lapi de superficille</t>
  </si>
  <si>
    <t>Task 5.6</t>
  </si>
  <si>
    <t>connecter le frontend avec api de superficille</t>
  </si>
  <si>
    <t>Stroy 6</t>
  </si>
  <si>
    <t>Calcul automatique du devis</t>
  </si>
  <si>
    <t>Task 6.1</t>
  </si>
  <si>
    <t>Cree un api pour la collection de l'adresses de  Départ, arrivée et étapes et see options et pour le devis finale</t>
  </si>
  <si>
    <t>Task 6.2</t>
  </si>
  <si>
    <t>update lapi information client par api adress</t>
  </si>
  <si>
    <t>Task 6.3</t>
  </si>
  <si>
    <t>connecter le frontend avec api adresse</t>
  </si>
  <si>
    <t>Task 6.4</t>
  </si>
  <si>
    <t xml:space="preserve">Valider les champs  de la collection de l'adresses </t>
  </si>
  <si>
    <t>Task 6.5</t>
  </si>
  <si>
    <t>Tester lapi de collection d'adresse</t>
  </si>
  <si>
    <t>Task 6.6</t>
  </si>
  <si>
    <t>Intégrer API Google Maps pour calcul de distance (Integrate Google Maps API for distance calculation)</t>
  </si>
  <si>
    <t>demander au client un compte google console developer validé et avec une carte bleu ajouté</t>
  </si>
  <si>
    <t>Task 6.7</t>
  </si>
  <si>
    <t>Définir algorithme finale de calcul (volume, distance, options)</t>
  </si>
  <si>
    <t>Task 6.8</t>
  </si>
  <si>
    <t>Implémenter module de tarification</t>
  </si>
  <si>
    <t>Task 6.9</t>
  </si>
  <si>
    <t>Tester avec données réelles</t>
  </si>
  <si>
    <t>Task 6.10</t>
  </si>
  <si>
    <t>Validation des montants</t>
  </si>
  <si>
    <t>Story 7</t>
  </si>
  <si>
    <t>Devis final avec options</t>
  </si>
  <si>
    <t>Task 7.1</t>
  </si>
  <si>
    <t xml:space="preserve">mise ajour lapi adress pour le devis finale </t>
  </si>
  <si>
    <t>Task 7.2</t>
  </si>
  <si>
    <t>interface pour le devis finale avec sélection des options (cartons, montage, emballage, etc.)</t>
  </si>
  <si>
    <t>Task 7.3</t>
  </si>
  <si>
    <t>Intégrer règles tarifaires pour chaque option</t>
  </si>
  <si>
    <t>Task 7.4</t>
  </si>
  <si>
    <t>Mise à jour automatique du devis</t>
  </si>
  <si>
    <t>Task 7.5</t>
  </si>
  <si>
    <t>Affichage clair du récapitulatif des options</t>
  </si>
  <si>
    <t>Task 7.6</t>
  </si>
  <si>
    <t>Génération devis PDF/HTML récapitulatif</t>
  </si>
  <si>
    <t>Task 7.7</t>
  </si>
  <si>
    <t>Envoi devis par email au client</t>
  </si>
  <si>
    <t>Task 7.8</t>
  </si>
  <si>
    <t>Archivage du devis dans la base de données</t>
  </si>
  <si>
    <t>Story 9</t>
  </si>
  <si>
    <t>Paiement en ligne sécurisé</t>
  </si>
  <si>
    <t>Task 9.1</t>
  </si>
  <si>
    <t>Intégrer module de paiement (stripe)</t>
  </si>
  <si>
    <t>demande au client la création de compte</t>
  </si>
  <si>
    <t>Task 9.2</t>
  </si>
  <si>
    <t>Créer API sécurisée de validation paiement</t>
  </si>
  <si>
    <t>Task 9.3</t>
  </si>
  <si>
    <t>Gestion des statuts (paiement validé, en attente, échoué)</t>
  </si>
  <si>
    <t>Task 9.4</t>
  </si>
  <si>
    <t>Générer facture automatique après paiement</t>
  </si>
  <si>
    <t>Task 9.5</t>
  </si>
  <si>
    <t>Notification client par email/sms</t>
  </si>
  <si>
    <t>Story 10</t>
  </si>
  <si>
    <t xml:space="preserve">Section Vente Flash </t>
  </si>
  <si>
    <t>Task 10.1</t>
  </si>
  <si>
    <t xml:space="preserve">cree un interface de les block vente flash output les (depart , arrivé, description, prix) </t>
  </si>
  <si>
    <t>Task 10.2</t>
  </si>
  <si>
    <t>mettre ce bloc en aliatore avec l'animation carousel</t>
  </si>
  <si>
    <t>Story 11</t>
  </si>
  <si>
    <t>Creation de la partie Frontend</t>
  </si>
  <si>
    <t>Task 11.1</t>
  </si>
  <si>
    <t xml:space="preserve">cree des interface et formulaire en figma make </t>
  </si>
  <si>
    <t>Task 11.2</t>
  </si>
  <si>
    <t>integré les interface de figma make avec notre projet</t>
  </si>
  <si>
    <t>Task 11.3</t>
  </si>
  <si>
    <t>modification coté design de les interfaces</t>
  </si>
  <si>
    <t>Task 11.4</t>
  </si>
  <si>
    <t xml:space="preserve">ajouter la page de  nouvelle  approache </t>
  </si>
  <si>
    <t>Task 11.6</t>
  </si>
  <si>
    <t xml:space="preserve">changer tous les icons de ce projet </t>
  </si>
  <si>
    <t>Task 11.7</t>
  </si>
  <si>
    <t>intégration de Template et home page de figma design</t>
  </si>
  <si>
    <t>Task 11.8</t>
  </si>
  <si>
    <t>correction au niveau de typography</t>
  </si>
  <si>
    <t>Task 11.9</t>
  </si>
  <si>
    <t xml:space="preserve">creation toute les page de projet </t>
  </si>
  <si>
    <t>Task 11.10</t>
  </si>
  <si>
    <t>mettre ce projet en mode responsive</t>
  </si>
  <si>
    <t>Sprint 1 : 26/09/2025 ---&gt; 26/10/2025</t>
  </si>
  <si>
    <t xml:space="preserve">Objectifs : Création de l'api de gestion des clients
</t>
  </si>
  <si>
    <t xml:space="preserve">Taux d'efficacité opérationnelle : 100 % </t>
  </si>
  <si>
    <t>Tâche détaillé</t>
  </si>
  <si>
    <t>Charges estimées</t>
  </si>
  <si>
    <t>Charges réelles</t>
  </si>
  <si>
    <t>Intervenant(s) à remplir</t>
  </si>
  <si>
    <t>Notes à remplir</t>
  </si>
  <si>
    <t>ajouter des informations client (backend)</t>
  </si>
  <si>
    <t>Abderrahim</t>
  </si>
  <si>
    <t>succés</t>
  </si>
  <si>
    <t>Développer l’API de gestion des clients (POST création +  enregistrement BDD) (backend)</t>
  </si>
  <si>
    <t xml:space="preserve">Review Remarques et conclusion :
</t>
  </si>
  <si>
    <t>Sprint 2 : 29/09/2025 ---&gt; 03/10/2025</t>
  </si>
  <si>
    <t xml:space="preserve">Objectifs : creation de la partie frontend de process d' "obtenir un devis" et connecteé par  60% de les apis
</t>
  </si>
  <si>
    <t xml:space="preserve">Taux d'efficacité opérationnelle : 100% </t>
  </si>
  <si>
    <t>Sauvegarder et output  liste d’objets choisis via api (backend)</t>
  </si>
  <si>
    <t>Valider les champs  et Tester lapi de objet_lourd</t>
  </si>
  <si>
    <t>Cree un api pour la collection de l'adresses de  Départ, arrivée et étapes et see options</t>
  </si>
  <si>
    <t>connecter le frontend avec  api ai</t>
  </si>
  <si>
    <t>Sprint 3 : 06/09/2025 ---&gt; 12/10/2025</t>
  </si>
  <si>
    <t xml:space="preserve">Objectifs : Intégration de la gestion des objets personnalisés, des API de calcul de surface et d’adresses avec les améliorations du frontend
</t>
  </si>
  <si>
    <t>Permettre saisie “Autres” objets personnalisés dans le frontend</t>
  </si>
  <si>
    <t>intégration de Template et home page de figma design avec correction</t>
  </si>
  <si>
    <t>Sprint 4 : 13/10/2025 ---&gt; 17/10/2025</t>
  </si>
  <si>
    <t>Objectifs :  Créer la partie frontend – version 0.</t>
  </si>
  <si>
    <t>correction les ereurs de typography dans la page d'acceuill</t>
  </si>
  <si>
    <t xml:space="preserve">Creation toute les pages de projet </t>
  </si>
  <si>
    <t>Taux d'avancement /TASKS</t>
  </si>
  <si>
    <t xml:space="preserve">Taux d'avancement /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</si>
</sst>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22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trike/>
      <sz val="11"/>
      <color theme="1"/>
      <name val="Calibri"/>
      <family val="2"/>
    </font>
    <font>
      <strike/>
      <u/>
      <sz val="11"/>
      <color theme="1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charset val="1"/>
    </font>
    <font>
      <b/>
      <sz val="11"/>
      <color theme="1"/>
      <name val="Calibri"/>
    </font>
    <font>
      <strike/>
      <sz val="11"/>
      <color theme="1"/>
      <name val="Calibri"/>
    </font>
    <font>
      <b/>
      <sz val="11"/>
      <color rgb="FF000000"/>
      <name val="Aptos Narrow"/>
      <scheme val="minor"/>
    </font>
    <font>
      <b/>
      <sz val="11"/>
      <color rgb="FF000000"/>
      <name val="Aptos Narrow"/>
    </font>
    <font>
      <b/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ED973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81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7" xfId="0" applyFont="1" applyBorder="1"/>
    <xf numFmtId="0" fontId="4" fillId="2" borderId="4" xfId="0" applyFont="1" applyFill="1" applyBorder="1"/>
    <xf numFmtId="0" fontId="4" fillId="2" borderId="8" xfId="0" applyFont="1" applyFill="1" applyBorder="1"/>
    <xf numFmtId="0" fontId="0" fillId="0" borderId="4" xfId="0" applyBorder="1"/>
    <xf numFmtId="0" fontId="5" fillId="0" borderId="4" xfId="0" applyFont="1" applyBorder="1"/>
    <xf numFmtId="0" fontId="4" fillId="0" borderId="4" xfId="0" applyFont="1" applyBorder="1" applyAlignment="1">
      <alignment wrapText="1"/>
    </xf>
    <xf numFmtId="0" fontId="4" fillId="3" borderId="4" xfId="0" applyFont="1" applyFill="1" applyBorder="1"/>
    <xf numFmtId="0" fontId="2" fillId="0" borderId="4" xfId="0" applyFont="1" applyBorder="1"/>
    <xf numFmtId="0" fontId="2" fillId="3" borderId="4" xfId="0" applyFont="1" applyFill="1" applyBorder="1"/>
    <xf numFmtId="0" fontId="3" fillId="3" borderId="4" xfId="0" applyFont="1" applyFill="1" applyBorder="1"/>
    <xf numFmtId="0" fontId="8" fillId="6" borderId="3" xfId="0" applyFont="1" applyFill="1" applyBorder="1" applyAlignment="1">
      <alignment vertical="center" wrapText="1"/>
    </xf>
    <xf numFmtId="0" fontId="8" fillId="6" borderId="16" xfId="0" applyFont="1" applyFill="1" applyBorder="1" applyAlignment="1">
      <alignment vertical="center" wrapText="1"/>
    </xf>
    <xf numFmtId="0" fontId="7" fillId="0" borderId="4" xfId="0" applyFont="1" applyBorder="1"/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5" fillId="0" borderId="4" xfId="1" applyFont="1" applyBorder="1" applyAlignment="1">
      <alignment wrapText="1"/>
    </xf>
    <xf numFmtId="0" fontId="0" fillId="0" borderId="8" xfId="0" applyBorder="1" applyAlignment="1">
      <alignment horizontal="center"/>
    </xf>
    <xf numFmtId="0" fontId="7" fillId="0" borderId="9" xfId="0" applyFont="1" applyBorder="1"/>
    <xf numFmtId="0" fontId="7" fillId="7" borderId="8" xfId="0" applyFont="1" applyFill="1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2" fillId="0" borderId="7" xfId="1" applyFont="1" applyBorder="1" applyAlignment="1">
      <alignment wrapText="1"/>
    </xf>
    <xf numFmtId="0" fontId="10" fillId="8" borderId="3" xfId="0" applyFont="1" applyFill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center"/>
    </xf>
    <xf numFmtId="0" fontId="6" fillId="0" borderId="7" xfId="1" applyBorder="1" applyAlignment="1">
      <alignment wrapText="1"/>
    </xf>
    <xf numFmtId="0" fontId="4" fillId="0" borderId="17" xfId="0" applyFont="1" applyBorder="1"/>
    <xf numFmtId="0" fontId="13" fillId="0" borderId="4" xfId="0" applyFont="1" applyBorder="1"/>
    <xf numFmtId="0" fontId="14" fillId="0" borderId="0" xfId="0" applyFont="1"/>
    <xf numFmtId="0" fontId="13" fillId="0" borderId="4" xfId="0" applyFont="1" applyBorder="1" applyAlignment="1">
      <alignment wrapText="1"/>
    </xf>
    <xf numFmtId="0" fontId="15" fillId="6" borderId="3" xfId="0" applyFont="1" applyFill="1" applyBorder="1" applyAlignment="1">
      <alignment vertical="center" wrapText="1"/>
    </xf>
    <xf numFmtId="0" fontId="15" fillId="6" borderId="16" xfId="0" applyFont="1" applyFill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4" fillId="0" borderId="11" xfId="0" applyFont="1" applyBorder="1"/>
    <xf numFmtId="0" fontId="4" fillId="3" borderId="6" xfId="0" applyFont="1" applyFill="1" applyBorder="1"/>
    <xf numFmtId="0" fontId="17" fillId="0" borderId="0" xfId="0" applyFont="1"/>
    <xf numFmtId="0" fontId="18" fillId="0" borderId="4" xfId="0" applyFont="1" applyBorder="1"/>
    <xf numFmtId="0" fontId="18" fillId="0" borderId="0" xfId="0" applyFont="1"/>
    <xf numFmtId="0" fontId="18" fillId="0" borderId="4" xfId="0" applyFont="1" applyBorder="1" applyAlignment="1">
      <alignment wrapText="1"/>
    </xf>
    <xf numFmtId="0" fontId="19" fillId="0" borderId="4" xfId="0" applyFont="1" applyBorder="1"/>
    <xf numFmtId="0" fontId="20" fillId="0" borderId="0" xfId="0" applyFont="1"/>
    <xf numFmtId="0" fontId="10" fillId="8" borderId="0" xfId="0" applyFont="1" applyFill="1" applyAlignment="1">
      <alignment horizontal="center"/>
    </xf>
    <xf numFmtId="0" fontId="4" fillId="0" borderId="4" xfId="0" applyFont="1" applyBorder="1" applyAlignment="1">
      <alignment horizontal="right"/>
    </xf>
    <xf numFmtId="0" fontId="19" fillId="0" borderId="0" xfId="0" applyFont="1"/>
    <xf numFmtId="0" fontId="7" fillId="0" borderId="0" xfId="0" applyFont="1"/>
    <xf numFmtId="0" fontId="17" fillId="0" borderId="4" xfId="1" applyFont="1" applyBorder="1" applyAlignment="1">
      <alignment wrapText="1"/>
    </xf>
    <xf numFmtId="0" fontId="14" fillId="0" borderId="4" xfId="0" applyFont="1" applyBorder="1"/>
    <xf numFmtId="0" fontId="20" fillId="0" borderId="11" xfId="0" applyFont="1" applyBorder="1"/>
    <xf numFmtId="0" fontId="9" fillId="0" borderId="11" xfId="0" applyFont="1" applyBorder="1" applyAlignment="1">
      <alignment vertical="center" wrapText="1"/>
    </xf>
    <xf numFmtId="0" fontId="0" fillId="0" borderId="6" xfId="0" applyBorder="1"/>
    <xf numFmtId="0" fontId="4" fillId="0" borderId="6" xfId="0" applyFont="1" applyBorder="1"/>
    <xf numFmtId="0" fontId="0" fillId="0" borderId="5" xfId="0" applyBorder="1"/>
    <xf numFmtId="0" fontId="7" fillId="0" borderId="8" xfId="0" applyFont="1" applyBorder="1"/>
    <xf numFmtId="0" fontId="16" fillId="0" borderId="4" xfId="0" applyFont="1" applyBorder="1" applyAlignment="1">
      <alignment vertical="center" wrapText="1"/>
    </xf>
    <xf numFmtId="0" fontId="7" fillId="7" borderId="4" xfId="0" applyFont="1" applyFill="1" applyBorder="1" applyAlignment="1">
      <alignment horizontal="center"/>
    </xf>
    <xf numFmtId="0" fontId="12" fillId="0" borderId="4" xfId="1" applyFont="1" applyBorder="1" applyAlignment="1">
      <alignment wrapText="1"/>
    </xf>
    <xf numFmtId="0" fontId="2" fillId="0" borderId="8" xfId="0" applyFont="1" applyBorder="1"/>
    <xf numFmtId="0" fontId="4" fillId="3" borderId="8" xfId="0" applyFont="1" applyFill="1" applyBorder="1"/>
    <xf numFmtId="0" fontId="0" fillId="0" borderId="19" xfId="0" applyBorder="1"/>
    <xf numFmtId="0" fontId="13" fillId="0" borderId="8" xfId="0" applyFont="1" applyBorder="1"/>
    <xf numFmtId="0" fontId="4" fillId="0" borderId="19" xfId="0" applyFont="1" applyBorder="1"/>
    <xf numFmtId="0" fontId="0" fillId="0" borderId="20" xfId="0" applyBorder="1" applyAlignment="1">
      <alignment horizontal="center"/>
    </xf>
    <xf numFmtId="0" fontId="7" fillId="0" borderId="9" xfId="0" applyFont="1" applyBorder="1" applyAlignment="1">
      <alignment horizontal="center"/>
    </xf>
    <xf numFmtId="9" fontId="7" fillId="0" borderId="9" xfId="2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</cellXfs>
  <cellStyles count="3">
    <cellStyle name="Hyperlink" xfId="1" xr:uid="{00000000-000B-0000-0000-000008000000}"/>
    <cellStyle name="Normal" xfId="0" builtinId="0"/>
    <cellStyle name="Pourcentage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lid Rebhi" id="{F7702A79-2B6C-4702-BD04-DA41468A0360}" userId="S::webdev@digitify.fr::e7436eaa-92c6-48d9-934f-240b3fad8943" providerId="AD"/>
  <person displayName="Abderrahim ALOUINI" id="{7A880241-2FD0-4640-8BD7-177DCD7BAEDE}" userId="S::a.alouini@digitify.fr::2e2e840c-0fcb-49a5-9431-7dd8aaf083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8-27T08:12:36.41" personId="{F7702A79-2B6C-4702-BD04-DA41468A0360}" id="{81A89CC0-70B2-4F66-AA48-B14133B94FA2}">
    <text xml:space="preserve">il faut expliquer avec des détail cette tache.
</text>
  </threadedComment>
  <threadedComment ref="B6" dT="2025-08-27T08:25:56.25" personId="{7A880241-2FD0-4640-8BD7-177DCD7BAEDE}" id="{796D0EC1-4496-47C1-A55E-D04EE813EAE0}" parentId="{81A89CC0-70B2-4F66-AA48-B14133B94FA2}">
    <text>Mettre en place une API REST côté backend qui permet de :
Recevoir les données du formulaire (POST /api/client) Sauvegarder dans la base de données (table Client)</text>
  </threadedComment>
  <threadedComment ref="B10" dT="2025-08-27T08:13:32.82" personId="{F7702A79-2B6C-4702-BD04-DA41468A0360}" id="{EDF95D8F-0009-44ED-90F8-E4F418B3FAE5}">
    <text xml:space="preserve">c'est en relation avec la story : Méthode alternative via photos, n'est ce pas ? 
</text>
  </threadedComment>
  <threadedComment ref="B10" dT="2025-08-27T08:14:59.36" personId="{7A880241-2FD0-4640-8BD7-177DCD7BAEDE}" id="{F17EA2B7-CC42-40D4-B096-F6FCFCEE14A2}" parentId="{EDF95D8F-0009-44ED-90F8-E4F418B3FAE5}">
    <text>non, ce ne sont pas les mêmes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48B8-8FC6-4E4C-B061-973D7F574FDD}">
  <dimension ref="A1:G94"/>
  <sheetViews>
    <sheetView tabSelected="1" topLeftCell="A44" workbookViewId="0">
      <selection activeCell="B5" sqref="B5"/>
    </sheetView>
  </sheetViews>
  <sheetFormatPr baseColWidth="10" defaultColWidth="11.44140625" defaultRowHeight="14.4" x14ac:dyDescent="0.3"/>
  <cols>
    <col min="1" max="1" width="9.88671875" customWidth="1"/>
    <col min="2" max="2" width="90.21875" customWidth="1"/>
    <col min="3" max="3" width="34" customWidth="1"/>
    <col min="4" max="4" width="18.88671875" customWidth="1"/>
    <col min="5" max="5" width="15" customWidth="1"/>
    <col min="6" max="6" width="13.33203125" customWidth="1"/>
    <col min="7" max="7" width="81" customWidth="1"/>
  </cols>
  <sheetData>
    <row r="1" spans="1:7" ht="28.8" x14ac:dyDescent="0.55000000000000004">
      <c r="A1" s="70" t="s">
        <v>0</v>
      </c>
      <c r="B1" s="70"/>
      <c r="C1" s="70"/>
      <c r="D1" s="70"/>
      <c r="E1" s="70"/>
      <c r="F1" s="70"/>
      <c r="G1" s="70"/>
    </row>
    <row r="2" spans="1:7" ht="18" x14ac:dyDescent="0.3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spans="1:7" x14ac:dyDescent="0.3">
      <c r="A3" s="11" t="s">
        <v>8</v>
      </c>
      <c r="B3" s="11" t="s">
        <v>9</v>
      </c>
      <c r="C3" s="10"/>
      <c r="D3" s="10"/>
      <c r="E3" s="10"/>
      <c r="F3" s="10"/>
      <c r="G3" s="10"/>
    </row>
    <row r="4" spans="1:7" x14ac:dyDescent="0.3">
      <c r="A4" s="3" t="s">
        <v>10</v>
      </c>
      <c r="B4" s="9" t="s">
        <v>11</v>
      </c>
      <c r="C4" s="3">
        <v>0.5</v>
      </c>
      <c r="D4" s="3"/>
      <c r="E4" s="27" t="s">
        <v>12</v>
      </c>
      <c r="F4" s="3">
        <v>2</v>
      </c>
      <c r="G4" s="3"/>
    </row>
    <row r="5" spans="1:7" x14ac:dyDescent="0.3">
      <c r="A5" s="3" t="s">
        <v>13</v>
      </c>
      <c r="B5" s="7" t="s">
        <v>14</v>
      </c>
      <c r="C5" s="3">
        <v>0.125</v>
      </c>
      <c r="D5" s="3"/>
      <c r="E5" s="27" t="s">
        <v>12</v>
      </c>
      <c r="F5" s="3">
        <v>1</v>
      </c>
      <c r="G5" s="3"/>
    </row>
    <row r="6" spans="1:7" x14ac:dyDescent="0.3">
      <c r="A6" s="3" t="s">
        <v>15</v>
      </c>
      <c r="B6" s="7" t="s">
        <v>16</v>
      </c>
      <c r="C6" s="3">
        <v>0.5</v>
      </c>
      <c r="D6" s="3"/>
      <c r="E6" s="27" t="s">
        <v>12</v>
      </c>
      <c r="F6" s="3">
        <v>1</v>
      </c>
      <c r="G6" s="3"/>
    </row>
    <row r="7" spans="1:7" x14ac:dyDescent="0.3">
      <c r="A7" s="3" t="s">
        <v>17</v>
      </c>
      <c r="B7" t="s">
        <v>18</v>
      </c>
      <c r="C7" s="3">
        <v>0.125</v>
      </c>
      <c r="D7" s="3"/>
      <c r="E7" s="27" t="s">
        <v>12</v>
      </c>
      <c r="F7" s="3">
        <v>1</v>
      </c>
      <c r="G7" s="3"/>
    </row>
    <row r="8" spans="1:7" x14ac:dyDescent="0.3">
      <c r="A8" s="3" t="s">
        <v>19</v>
      </c>
      <c r="B8" t="s">
        <v>20</v>
      </c>
      <c r="C8" s="3">
        <v>6.25E-2</v>
      </c>
      <c r="D8" s="3"/>
      <c r="E8" s="46"/>
      <c r="F8" s="3">
        <v>2</v>
      </c>
      <c r="G8" s="3"/>
    </row>
    <row r="9" spans="1:7" x14ac:dyDescent="0.3">
      <c r="A9" s="11" t="s">
        <v>21</v>
      </c>
      <c r="B9" s="11" t="s">
        <v>22</v>
      </c>
      <c r="C9" s="10" t="s">
        <v>23</v>
      </c>
      <c r="D9" s="10" t="s">
        <v>23</v>
      </c>
      <c r="E9" s="10" t="s">
        <v>23</v>
      </c>
      <c r="F9" s="10"/>
      <c r="G9" s="10"/>
    </row>
    <row r="10" spans="1:7" x14ac:dyDescent="0.3">
      <c r="A10" s="3" t="s">
        <v>24</v>
      </c>
      <c r="B10" s="7" t="s">
        <v>25</v>
      </c>
      <c r="C10" s="3">
        <v>1</v>
      </c>
      <c r="D10" s="3"/>
      <c r="E10" s="27" t="s">
        <v>12</v>
      </c>
      <c r="F10" s="3">
        <v>2</v>
      </c>
      <c r="G10" s="3"/>
    </row>
    <row r="11" spans="1:7" x14ac:dyDescent="0.3">
      <c r="A11" s="3" t="s">
        <v>26</v>
      </c>
      <c r="B11" s="7" t="s">
        <v>27</v>
      </c>
      <c r="C11" s="3">
        <v>6.25E-2</v>
      </c>
      <c r="D11" s="3"/>
      <c r="E11" s="27" t="s">
        <v>12</v>
      </c>
      <c r="F11" s="3">
        <v>2</v>
      </c>
      <c r="G11" s="3"/>
    </row>
    <row r="12" spans="1:7" x14ac:dyDescent="0.3">
      <c r="A12" s="3" t="s">
        <v>28</v>
      </c>
      <c r="B12" s="7" t="s">
        <v>29</v>
      </c>
      <c r="C12" s="3">
        <v>6.25E-2</v>
      </c>
      <c r="D12" s="3"/>
      <c r="E12" s="27" t="s">
        <v>12</v>
      </c>
      <c r="F12" s="3">
        <v>2</v>
      </c>
      <c r="G12" s="3"/>
    </row>
    <row r="13" spans="1:7" x14ac:dyDescent="0.3">
      <c r="A13" s="3" t="s">
        <v>30</v>
      </c>
      <c r="B13" s="7" t="s">
        <v>31</v>
      </c>
      <c r="C13" s="3">
        <v>0.125</v>
      </c>
      <c r="D13" s="3"/>
      <c r="E13" s="27" t="s">
        <v>12</v>
      </c>
      <c r="F13" s="3">
        <v>0</v>
      </c>
      <c r="G13" s="3"/>
    </row>
    <row r="14" spans="1:7" x14ac:dyDescent="0.3">
      <c r="A14" s="3" t="s">
        <v>32</v>
      </c>
      <c r="B14" s="7" t="s">
        <v>33</v>
      </c>
      <c r="C14" s="3">
        <v>0.5</v>
      </c>
      <c r="D14" s="3"/>
      <c r="E14" s="27" t="s">
        <v>12</v>
      </c>
      <c r="F14" s="3">
        <v>2</v>
      </c>
      <c r="G14" s="3"/>
    </row>
    <row r="15" spans="1:7" x14ac:dyDescent="0.3">
      <c r="A15" s="3" t="s">
        <v>34</v>
      </c>
      <c r="B15" s="7" t="s">
        <v>35</v>
      </c>
      <c r="C15" s="3">
        <v>0.125</v>
      </c>
      <c r="D15" s="3"/>
      <c r="E15" s="27" t="s">
        <v>12</v>
      </c>
      <c r="F15" s="3">
        <v>2</v>
      </c>
      <c r="G15" s="3"/>
    </row>
    <row r="16" spans="1:7" x14ac:dyDescent="0.3">
      <c r="A16" s="55" t="s">
        <v>36</v>
      </c>
      <c r="B16" s="7" t="s">
        <v>37</v>
      </c>
      <c r="C16" s="3">
        <v>0.125</v>
      </c>
      <c r="D16" s="3"/>
      <c r="E16" s="27" t="s">
        <v>12</v>
      </c>
      <c r="F16" s="3">
        <v>2</v>
      </c>
      <c r="G16" s="3"/>
    </row>
    <row r="17" spans="1:7" x14ac:dyDescent="0.3">
      <c r="A17" s="3" t="s">
        <v>38</v>
      </c>
      <c r="B17" s="33" t="s">
        <v>39</v>
      </c>
      <c r="C17" s="3">
        <v>6.25E-2</v>
      </c>
      <c r="D17" s="3"/>
      <c r="E17" s="27" t="s">
        <v>12</v>
      </c>
      <c r="F17" s="3">
        <v>2</v>
      </c>
      <c r="G17" s="3"/>
    </row>
    <row r="18" spans="1:7" x14ac:dyDescent="0.3">
      <c r="A18" s="7" t="s">
        <v>40</v>
      </c>
      <c r="B18" s="33" t="s">
        <v>41</v>
      </c>
      <c r="C18" s="3">
        <v>0.125</v>
      </c>
      <c r="D18" s="3"/>
      <c r="E18" s="27" t="s">
        <v>12</v>
      </c>
      <c r="F18" s="3">
        <v>2</v>
      </c>
      <c r="G18" s="3"/>
    </row>
    <row r="19" spans="1:7" x14ac:dyDescent="0.3">
      <c r="A19" s="7" t="s">
        <v>42</v>
      </c>
      <c r="B19" s="56" t="s">
        <v>43</v>
      </c>
      <c r="C19" s="3">
        <v>0.3</v>
      </c>
      <c r="D19" s="3"/>
      <c r="E19" s="27" t="s">
        <v>12</v>
      </c>
      <c r="F19" s="3">
        <v>0</v>
      </c>
      <c r="G19" s="3"/>
    </row>
    <row r="20" spans="1:7" x14ac:dyDescent="0.3">
      <c r="A20" s="7" t="s">
        <v>44</v>
      </c>
      <c r="B20" s="56" t="s">
        <v>45</v>
      </c>
      <c r="C20" s="3">
        <v>0.2</v>
      </c>
      <c r="D20" s="3"/>
      <c r="E20" s="27" t="s">
        <v>12</v>
      </c>
      <c r="F20" s="3">
        <v>0</v>
      </c>
      <c r="G20" s="3"/>
    </row>
    <row r="21" spans="1:7" x14ac:dyDescent="0.3">
      <c r="A21" s="61" t="s">
        <v>46</v>
      </c>
      <c r="B21" s="8" t="s">
        <v>47</v>
      </c>
      <c r="C21" s="10"/>
      <c r="D21" s="10"/>
      <c r="E21" s="10"/>
      <c r="F21" s="10"/>
      <c r="G21" s="10"/>
    </row>
    <row r="22" spans="1:7" x14ac:dyDescent="0.3">
      <c r="A22" s="3" t="s">
        <v>48</v>
      </c>
      <c r="B22" s="7" t="s">
        <v>49</v>
      </c>
      <c r="C22" s="3">
        <v>0.25</v>
      </c>
      <c r="D22" s="3"/>
      <c r="E22" s="27" t="s">
        <v>12</v>
      </c>
      <c r="F22" s="3">
        <v>2</v>
      </c>
      <c r="G22" s="3"/>
    </row>
    <row r="23" spans="1:7" x14ac:dyDescent="0.3">
      <c r="A23" s="3" t="s">
        <v>50</v>
      </c>
      <c r="B23" s="33" t="s">
        <v>51</v>
      </c>
      <c r="C23" s="3">
        <v>0.3</v>
      </c>
      <c r="D23" s="3"/>
      <c r="E23" s="27" t="s">
        <v>12</v>
      </c>
      <c r="F23" s="3">
        <v>2</v>
      </c>
      <c r="G23" s="3"/>
    </row>
    <row r="24" spans="1:7" x14ac:dyDescent="0.3">
      <c r="A24" s="3" t="s">
        <v>52</v>
      </c>
      <c r="B24" s="33" t="s">
        <v>53</v>
      </c>
      <c r="C24" s="3">
        <v>0.125</v>
      </c>
      <c r="D24" s="3"/>
      <c r="E24" s="27" t="s">
        <v>12</v>
      </c>
      <c r="F24" s="3">
        <v>2</v>
      </c>
      <c r="G24" s="3"/>
    </row>
    <row r="25" spans="1:7" x14ac:dyDescent="0.3">
      <c r="A25" s="3" t="s">
        <v>54</v>
      </c>
      <c r="B25" s="33" t="s">
        <v>55</v>
      </c>
      <c r="C25" s="3">
        <v>6.25E-2</v>
      </c>
      <c r="D25" s="3"/>
      <c r="E25" s="46"/>
      <c r="F25" s="3"/>
      <c r="G25" s="3"/>
    </row>
    <row r="26" spans="1:7" x14ac:dyDescent="0.3">
      <c r="A26" t="s">
        <v>56</v>
      </c>
      <c r="B26" s="54" t="s">
        <v>57</v>
      </c>
      <c r="C26" s="55">
        <v>0.125</v>
      </c>
      <c r="D26" s="55"/>
      <c r="E26" s="27" t="s">
        <v>12</v>
      </c>
      <c r="F26" s="55">
        <v>3</v>
      </c>
      <c r="G26" s="55"/>
    </row>
    <row r="27" spans="1:7" x14ac:dyDescent="0.3">
      <c r="A27" t="s">
        <v>58</v>
      </c>
      <c r="B27" s="7" t="s">
        <v>59</v>
      </c>
      <c r="C27" s="3">
        <v>0.5</v>
      </c>
      <c r="D27" s="3"/>
      <c r="E27" s="27" t="s">
        <v>12</v>
      </c>
      <c r="F27" s="3">
        <v>3</v>
      </c>
      <c r="G27" s="3"/>
    </row>
    <row r="28" spans="1:7" x14ac:dyDescent="0.3">
      <c r="A28" t="s">
        <v>60</v>
      </c>
      <c r="B28" s="3" t="s">
        <v>61</v>
      </c>
      <c r="C28" s="7">
        <v>0.25</v>
      </c>
      <c r="D28" s="7" t="s">
        <v>62</v>
      </c>
      <c r="E28" s="5" t="s">
        <v>63</v>
      </c>
      <c r="F28" s="7"/>
      <c r="G28" s="7"/>
    </row>
    <row r="29" spans="1:7" x14ac:dyDescent="0.3">
      <c r="A29" s="11" t="s">
        <v>64</v>
      </c>
      <c r="B29" s="61" t="s">
        <v>65</v>
      </c>
      <c r="C29" s="62"/>
      <c r="D29" s="62"/>
      <c r="E29" s="62" t="s">
        <v>23</v>
      </c>
      <c r="F29" s="62"/>
      <c r="G29" s="62"/>
    </row>
    <row r="30" spans="1:7" x14ac:dyDescent="0.3">
      <c r="A30" s="3" t="s">
        <v>66</v>
      </c>
      <c r="B30" s="3" t="s">
        <v>67</v>
      </c>
      <c r="C30" s="3">
        <v>0.25</v>
      </c>
      <c r="D30" s="3"/>
      <c r="E30" s="27" t="s">
        <v>12</v>
      </c>
      <c r="F30" s="3">
        <v>2</v>
      </c>
      <c r="G30" s="3"/>
    </row>
    <row r="31" spans="1:7" x14ac:dyDescent="0.3">
      <c r="A31" s="3" t="s">
        <v>68</v>
      </c>
      <c r="B31" s="3" t="s">
        <v>69</v>
      </c>
      <c r="C31" s="3">
        <v>10</v>
      </c>
      <c r="D31" s="3" t="s">
        <v>70</v>
      </c>
      <c r="E31" s="66" t="s">
        <v>71</v>
      </c>
      <c r="F31" s="3">
        <v>0</v>
      </c>
      <c r="G31" s="3"/>
    </row>
    <row r="32" spans="1:7" x14ac:dyDescent="0.3">
      <c r="A32" s="3" t="s">
        <v>72</v>
      </c>
      <c r="B32" s="3" t="s">
        <v>73</v>
      </c>
      <c r="C32" s="3">
        <v>0.125</v>
      </c>
      <c r="D32" s="3"/>
      <c r="E32" s="27" t="s">
        <v>12</v>
      </c>
      <c r="F32" s="3">
        <v>0</v>
      </c>
      <c r="G32" s="3"/>
    </row>
    <row r="33" spans="1:7" x14ac:dyDescent="0.3">
      <c r="A33" s="3" t="s">
        <v>74</v>
      </c>
      <c r="B33" s="3" t="s">
        <v>75</v>
      </c>
      <c r="C33" s="3">
        <v>0.1</v>
      </c>
      <c r="D33" s="3"/>
      <c r="E33" s="27" t="s">
        <v>12</v>
      </c>
      <c r="F33" s="3">
        <v>0</v>
      </c>
      <c r="G33" s="3"/>
    </row>
    <row r="34" spans="1:7" x14ac:dyDescent="0.3">
      <c r="A34" s="3" t="s">
        <v>76</v>
      </c>
      <c r="B34" s="3" t="s">
        <v>77</v>
      </c>
      <c r="C34" s="3">
        <v>0.25</v>
      </c>
      <c r="D34" s="3"/>
      <c r="E34" s="5" t="s">
        <v>63</v>
      </c>
      <c r="F34" s="3"/>
      <c r="G34" s="3"/>
    </row>
    <row r="35" spans="1:7" x14ac:dyDescent="0.3">
      <c r="A35" s="3" t="s">
        <v>78</v>
      </c>
      <c r="B35" s="3" t="s">
        <v>79</v>
      </c>
      <c r="C35" s="3">
        <v>0.25</v>
      </c>
      <c r="D35" s="3"/>
      <c r="E35" s="27" t="s">
        <v>12</v>
      </c>
      <c r="F35" s="3">
        <v>0</v>
      </c>
      <c r="G35" s="3"/>
    </row>
    <row r="36" spans="1:7" x14ac:dyDescent="0.3">
      <c r="A36" s="3" t="s">
        <v>80</v>
      </c>
      <c r="B36" s="7" t="s">
        <v>81</v>
      </c>
      <c r="C36" s="3">
        <v>0.2</v>
      </c>
      <c r="D36" s="3"/>
      <c r="E36" s="27" t="s">
        <v>12</v>
      </c>
      <c r="F36" s="3">
        <v>0</v>
      </c>
      <c r="G36" s="3"/>
    </row>
    <row r="37" spans="1:7" x14ac:dyDescent="0.3">
      <c r="A37" t="s">
        <v>82</v>
      </c>
      <c r="B37" s="3" t="s">
        <v>83</v>
      </c>
      <c r="C37">
        <v>0.25</v>
      </c>
      <c r="E37" s="27" t="s">
        <v>12</v>
      </c>
      <c r="F37">
        <v>0</v>
      </c>
    </row>
    <row r="38" spans="1:7" x14ac:dyDescent="0.3">
      <c r="A38" t="s">
        <v>84</v>
      </c>
      <c r="B38" s="33" t="s">
        <v>85</v>
      </c>
      <c r="C38" s="47">
        <v>6.25E-2</v>
      </c>
      <c r="D38" s="3"/>
      <c r="E38" s="27" t="s">
        <v>12</v>
      </c>
      <c r="F38" s="3">
        <v>2</v>
      </c>
      <c r="G38" s="3"/>
    </row>
    <row r="39" spans="1:7" x14ac:dyDescent="0.3">
      <c r="A39" s="3" t="s">
        <v>86</v>
      </c>
      <c r="B39" s="3" t="s">
        <v>87</v>
      </c>
      <c r="C39" s="3">
        <v>0.125</v>
      </c>
      <c r="D39" s="3"/>
      <c r="E39" s="27" t="s">
        <v>12</v>
      </c>
      <c r="F39" s="3">
        <v>2</v>
      </c>
      <c r="G39" s="3"/>
    </row>
    <row r="40" spans="1:7" x14ac:dyDescent="0.3">
      <c r="A40" s="3" t="s">
        <v>88</v>
      </c>
      <c r="B40" s="3" t="s">
        <v>89</v>
      </c>
      <c r="C40" s="3">
        <v>6.25E-2</v>
      </c>
      <c r="D40" s="3"/>
      <c r="E40" s="27" t="s">
        <v>12</v>
      </c>
      <c r="F40" s="3">
        <v>3</v>
      </c>
      <c r="G40" s="3"/>
    </row>
    <row r="41" spans="1:7" x14ac:dyDescent="0.3">
      <c r="A41" s="3" t="s">
        <v>90</v>
      </c>
      <c r="B41" s="3" t="s">
        <v>91</v>
      </c>
      <c r="C41" s="3"/>
      <c r="D41" s="3"/>
      <c r="E41" s="46"/>
      <c r="F41" s="3"/>
      <c r="G41" s="3"/>
    </row>
    <row r="42" spans="1:7" x14ac:dyDescent="0.3">
      <c r="A42" s="11" t="s">
        <v>92</v>
      </c>
      <c r="B42" s="11" t="s">
        <v>93</v>
      </c>
      <c r="C42" s="10"/>
      <c r="D42" s="10"/>
      <c r="E42" s="10"/>
      <c r="F42" s="10"/>
      <c r="G42" s="10"/>
    </row>
    <row r="43" spans="1:7" x14ac:dyDescent="0.3">
      <c r="A43" s="32" t="s">
        <v>94</v>
      </c>
      <c r="B43" s="3" t="s">
        <v>95</v>
      </c>
      <c r="C43">
        <v>0.25</v>
      </c>
      <c r="E43" s="27" t="s">
        <v>12</v>
      </c>
      <c r="F43">
        <v>2</v>
      </c>
    </row>
    <row r="44" spans="1:7" x14ac:dyDescent="0.3">
      <c r="A44" s="3" t="s">
        <v>96</v>
      </c>
      <c r="B44" s="3" t="s">
        <v>97</v>
      </c>
      <c r="C44" s="3">
        <v>0.25</v>
      </c>
      <c r="D44" s="3"/>
      <c r="E44" s="5" t="s">
        <v>63</v>
      </c>
      <c r="F44" s="3">
        <v>3</v>
      </c>
      <c r="G44" s="55"/>
    </row>
    <row r="45" spans="1:7" x14ac:dyDescent="0.3">
      <c r="A45" s="3" t="s">
        <v>98</v>
      </c>
      <c r="B45" s="3" t="s">
        <v>45</v>
      </c>
      <c r="C45" s="3">
        <v>0.1</v>
      </c>
      <c r="D45" s="3"/>
      <c r="E45" s="27" t="s">
        <v>12</v>
      </c>
      <c r="F45" s="38">
        <v>1</v>
      </c>
      <c r="G45" s="7"/>
    </row>
    <row r="46" spans="1:7" x14ac:dyDescent="0.3">
      <c r="A46" s="3" t="s">
        <v>99</v>
      </c>
      <c r="B46" s="3" t="s">
        <v>100</v>
      </c>
      <c r="C46" s="3">
        <v>0.25</v>
      </c>
      <c r="D46" s="3"/>
      <c r="E46" s="27" t="s">
        <v>12</v>
      </c>
      <c r="F46" s="38">
        <v>3</v>
      </c>
      <c r="G46" s="7"/>
    </row>
    <row r="47" spans="1:7" x14ac:dyDescent="0.3">
      <c r="A47" s="3" t="s">
        <v>101</v>
      </c>
      <c r="B47" s="3" t="s">
        <v>102</v>
      </c>
      <c r="C47" s="3">
        <v>6.25E-2</v>
      </c>
      <c r="D47" s="3"/>
      <c r="E47" s="27" t="s">
        <v>12</v>
      </c>
      <c r="F47" s="38">
        <v>3</v>
      </c>
      <c r="G47" s="7"/>
    </row>
    <row r="48" spans="1:7" x14ac:dyDescent="0.3">
      <c r="A48" s="3" t="s">
        <v>103</v>
      </c>
      <c r="B48" s="3" t="s">
        <v>104</v>
      </c>
      <c r="C48" s="3">
        <v>6.25E-2</v>
      </c>
      <c r="D48" s="3"/>
      <c r="E48" s="27" t="s">
        <v>12</v>
      </c>
      <c r="F48" s="38">
        <v>3</v>
      </c>
      <c r="G48" s="7"/>
    </row>
    <row r="49" spans="1:7" x14ac:dyDescent="0.3">
      <c r="A49" s="11" t="s">
        <v>105</v>
      </c>
      <c r="B49" s="11" t="s">
        <v>106</v>
      </c>
      <c r="C49" s="10"/>
      <c r="D49" s="10"/>
      <c r="E49" s="10"/>
      <c r="F49" s="10"/>
      <c r="G49" s="62"/>
    </row>
    <row r="50" spans="1:7" x14ac:dyDescent="0.3">
      <c r="A50" s="3" t="s">
        <v>107</v>
      </c>
      <c r="B50" s="32" t="s">
        <v>108</v>
      </c>
      <c r="C50" s="3">
        <v>1</v>
      </c>
      <c r="D50" s="3" t="s">
        <v>62</v>
      </c>
      <c r="E50" s="27" t="s">
        <v>12</v>
      </c>
      <c r="F50" s="3">
        <v>3</v>
      </c>
      <c r="G50" s="3"/>
    </row>
    <row r="51" spans="1:7" x14ac:dyDescent="0.3">
      <c r="A51" s="3" t="s">
        <v>109</v>
      </c>
      <c r="B51" s="32" t="s">
        <v>110</v>
      </c>
      <c r="C51" s="3">
        <v>0.25</v>
      </c>
      <c r="D51" s="3"/>
      <c r="E51" s="27" t="s">
        <v>12</v>
      </c>
      <c r="F51" s="3">
        <v>3</v>
      </c>
      <c r="G51" s="3"/>
    </row>
    <row r="52" spans="1:7" x14ac:dyDescent="0.3">
      <c r="A52" s="3" t="s">
        <v>111</v>
      </c>
      <c r="B52" s="32" t="s">
        <v>112</v>
      </c>
      <c r="C52" s="3">
        <v>6.25E-2</v>
      </c>
      <c r="D52" s="3"/>
      <c r="E52" s="27" t="s">
        <v>12</v>
      </c>
      <c r="F52" s="3">
        <v>3</v>
      </c>
      <c r="G52" s="3"/>
    </row>
    <row r="53" spans="1:7" x14ac:dyDescent="0.3">
      <c r="A53" s="3" t="s">
        <v>113</v>
      </c>
      <c r="B53" s="32" t="s">
        <v>114</v>
      </c>
      <c r="C53" s="3">
        <v>0.25</v>
      </c>
      <c r="D53" s="3"/>
      <c r="E53" s="27" t="s">
        <v>12</v>
      </c>
      <c r="F53" s="3">
        <v>3</v>
      </c>
      <c r="G53" s="3"/>
    </row>
    <row r="54" spans="1:7" x14ac:dyDescent="0.3">
      <c r="A54" s="3" t="s">
        <v>115</v>
      </c>
      <c r="B54" s="32" t="s">
        <v>116</v>
      </c>
      <c r="C54" s="3">
        <v>6.25E-2</v>
      </c>
      <c r="D54" s="3"/>
      <c r="E54" s="27" t="s">
        <v>12</v>
      </c>
      <c r="F54" s="3">
        <v>3</v>
      </c>
      <c r="G54" s="3"/>
    </row>
    <row r="55" spans="1:7" x14ac:dyDescent="0.3">
      <c r="A55" s="3" t="s">
        <v>117</v>
      </c>
      <c r="B55" s="3" t="s">
        <v>118</v>
      </c>
      <c r="C55" s="3">
        <v>0.2</v>
      </c>
      <c r="D55" s="3"/>
      <c r="E55" s="5" t="s">
        <v>63</v>
      </c>
      <c r="F55" s="3"/>
      <c r="G55" s="3" t="s">
        <v>119</v>
      </c>
    </row>
    <row r="56" spans="1:7" x14ac:dyDescent="0.3">
      <c r="A56" s="3" t="s">
        <v>120</v>
      </c>
      <c r="B56" s="3" t="s">
        <v>121</v>
      </c>
      <c r="C56" s="3">
        <v>0.5</v>
      </c>
      <c r="D56" s="3"/>
      <c r="E56" s="5" t="s">
        <v>63</v>
      </c>
      <c r="F56" s="3"/>
      <c r="G56" s="3"/>
    </row>
    <row r="57" spans="1:7" x14ac:dyDescent="0.3">
      <c r="A57" s="3" t="s">
        <v>122</v>
      </c>
      <c r="B57" s="3" t="s">
        <v>123</v>
      </c>
      <c r="C57" s="3">
        <v>0.5</v>
      </c>
      <c r="D57" s="3"/>
      <c r="E57" s="5" t="s">
        <v>63</v>
      </c>
      <c r="F57" s="3"/>
      <c r="G57" s="3"/>
    </row>
    <row r="58" spans="1:7" x14ac:dyDescent="0.3">
      <c r="A58" s="3" t="s">
        <v>124</v>
      </c>
      <c r="B58" s="3" t="s">
        <v>125</v>
      </c>
      <c r="C58" s="3">
        <v>0.2</v>
      </c>
      <c r="D58" s="3"/>
      <c r="E58" s="5" t="s">
        <v>63</v>
      </c>
      <c r="F58" s="3"/>
      <c r="G58" s="3"/>
    </row>
    <row r="59" spans="1:7" x14ac:dyDescent="0.3">
      <c r="A59" s="3" t="s">
        <v>126</v>
      </c>
      <c r="B59" s="7" t="s">
        <v>127</v>
      </c>
      <c r="C59" s="3">
        <v>0.1</v>
      </c>
      <c r="D59" s="3"/>
      <c r="E59" s="5" t="s">
        <v>63</v>
      </c>
      <c r="F59" s="3"/>
      <c r="G59" s="3"/>
    </row>
    <row r="60" spans="1:7" x14ac:dyDescent="0.3">
      <c r="A60" s="11" t="s">
        <v>128</v>
      </c>
      <c r="B60" s="11" t="s">
        <v>129</v>
      </c>
      <c r="C60" s="10"/>
      <c r="D60" s="10"/>
      <c r="E60" s="10"/>
      <c r="F60" s="10"/>
      <c r="G60" s="10"/>
    </row>
    <row r="61" spans="1:7" x14ac:dyDescent="0.3">
      <c r="A61" s="3" t="s">
        <v>130</v>
      </c>
      <c r="B61" s="32" t="s">
        <v>131</v>
      </c>
      <c r="C61">
        <v>0.5</v>
      </c>
      <c r="E61" s="5" t="s">
        <v>63</v>
      </c>
    </row>
    <row r="62" spans="1:7" x14ac:dyDescent="0.3">
      <c r="A62" s="3" t="s">
        <v>132</v>
      </c>
      <c r="B62" s="32" t="s">
        <v>133</v>
      </c>
      <c r="C62" s="3">
        <v>0.375</v>
      </c>
      <c r="D62" s="3"/>
      <c r="E62" s="27" t="s">
        <v>12</v>
      </c>
      <c r="F62" s="3">
        <v>2</v>
      </c>
      <c r="G62" s="3"/>
    </row>
    <row r="63" spans="1:7" x14ac:dyDescent="0.3">
      <c r="A63" s="3" t="s">
        <v>134</v>
      </c>
      <c r="B63" s="3" t="s">
        <v>135</v>
      </c>
      <c r="C63">
        <v>0.2</v>
      </c>
      <c r="D63" s="3"/>
      <c r="E63" s="5" t="s">
        <v>63</v>
      </c>
    </row>
    <row r="64" spans="1:7" x14ac:dyDescent="0.3">
      <c r="A64" s="3" t="s">
        <v>136</v>
      </c>
      <c r="B64" s="3" t="s">
        <v>137</v>
      </c>
      <c r="C64" s="3">
        <v>0.2</v>
      </c>
      <c r="D64" s="3"/>
      <c r="E64" s="5" t="s">
        <v>63</v>
      </c>
      <c r="F64" s="3"/>
      <c r="G64" s="3"/>
    </row>
    <row r="65" spans="1:7" x14ac:dyDescent="0.3">
      <c r="A65" s="3" t="s">
        <v>138</v>
      </c>
      <c r="B65" s="3" t="s">
        <v>139</v>
      </c>
      <c r="C65" s="3">
        <v>0.125</v>
      </c>
      <c r="D65" s="3"/>
      <c r="E65" s="5" t="s">
        <v>63</v>
      </c>
      <c r="F65" s="3"/>
      <c r="G65" s="3"/>
    </row>
    <row r="66" spans="1:7" x14ac:dyDescent="0.3">
      <c r="A66" s="3" t="s">
        <v>140</v>
      </c>
      <c r="B66" s="3" t="s">
        <v>141</v>
      </c>
      <c r="C66">
        <v>0.4</v>
      </c>
      <c r="E66" s="5" t="s">
        <v>63</v>
      </c>
    </row>
    <row r="67" spans="1:7" x14ac:dyDescent="0.3">
      <c r="A67" s="3" t="s">
        <v>142</v>
      </c>
      <c r="B67" s="3" t="s">
        <v>143</v>
      </c>
      <c r="C67" s="3">
        <v>0.25</v>
      </c>
      <c r="D67" s="3"/>
      <c r="E67" s="5" t="s">
        <v>63</v>
      </c>
      <c r="F67" s="3"/>
      <c r="G67" s="3"/>
    </row>
    <row r="68" spans="1:7" x14ac:dyDescent="0.3">
      <c r="A68" t="s">
        <v>144</v>
      </c>
      <c r="B68" s="3" t="s">
        <v>145</v>
      </c>
      <c r="C68">
        <v>0.25</v>
      </c>
      <c r="E68" s="5" t="s">
        <v>63</v>
      </c>
    </row>
    <row r="69" spans="1:7" x14ac:dyDescent="0.3">
      <c r="A69" s="11" t="s">
        <v>146</v>
      </c>
      <c r="B69" s="11" t="s">
        <v>147</v>
      </c>
      <c r="C69" s="10"/>
      <c r="D69" s="10"/>
      <c r="E69" s="5" t="s">
        <v>63</v>
      </c>
      <c r="F69" s="10"/>
      <c r="G69" s="10"/>
    </row>
    <row r="70" spans="1:7" x14ac:dyDescent="0.3">
      <c r="A70" s="3" t="s">
        <v>148</v>
      </c>
      <c r="B70" s="3" t="s">
        <v>149</v>
      </c>
      <c r="C70" s="3">
        <v>1</v>
      </c>
      <c r="D70" s="3"/>
      <c r="E70" s="5" t="s">
        <v>63</v>
      </c>
      <c r="F70" s="3"/>
      <c r="G70" s="3" t="s">
        <v>150</v>
      </c>
    </row>
    <row r="71" spans="1:7" x14ac:dyDescent="0.3">
      <c r="A71" s="28" t="s">
        <v>151</v>
      </c>
      <c r="B71" s="3" t="s">
        <v>152</v>
      </c>
      <c r="C71" s="2">
        <v>0.6</v>
      </c>
      <c r="D71" s="1"/>
      <c r="E71" s="6" t="s">
        <v>63</v>
      </c>
      <c r="F71" s="4"/>
      <c r="G71" s="4"/>
    </row>
    <row r="72" spans="1:7" x14ac:dyDescent="0.3">
      <c r="A72" s="28" t="s">
        <v>153</v>
      </c>
      <c r="B72" s="3" t="s">
        <v>154</v>
      </c>
      <c r="C72">
        <v>0.3</v>
      </c>
      <c r="E72" s="6" t="s">
        <v>63</v>
      </c>
    </row>
    <row r="73" spans="1:7" x14ac:dyDescent="0.3">
      <c r="A73" s="28" t="s">
        <v>155</v>
      </c>
      <c r="B73" s="3" t="s">
        <v>156</v>
      </c>
      <c r="C73" s="3">
        <v>0.2</v>
      </c>
      <c r="D73" s="3"/>
      <c r="E73" s="5" t="s">
        <v>63</v>
      </c>
      <c r="F73" s="3"/>
      <c r="G73" s="3"/>
    </row>
    <row r="74" spans="1:7" x14ac:dyDescent="0.3">
      <c r="A74" s="28" t="s">
        <v>157</v>
      </c>
      <c r="B74" s="3" t="s">
        <v>158</v>
      </c>
      <c r="C74" s="3">
        <v>0.1</v>
      </c>
      <c r="D74" s="3"/>
      <c r="E74" s="5" t="s">
        <v>63</v>
      </c>
      <c r="F74" s="3"/>
      <c r="G74" s="3"/>
    </row>
    <row r="75" spans="1:7" x14ac:dyDescent="0.3">
      <c r="A75" s="11" t="s">
        <v>159</v>
      </c>
      <c r="B75" s="11" t="s">
        <v>160</v>
      </c>
      <c r="C75" s="39"/>
      <c r="D75" s="39"/>
      <c r="E75" s="39"/>
      <c r="F75" s="39"/>
      <c r="G75" s="39"/>
    </row>
    <row r="76" spans="1:7" x14ac:dyDescent="0.3">
      <c r="A76" s="3" t="s">
        <v>161</v>
      </c>
      <c r="B76" s="38" t="s">
        <v>162</v>
      </c>
      <c r="C76" s="7">
        <v>0.125</v>
      </c>
      <c r="D76" s="7"/>
      <c r="E76" s="5" t="s">
        <v>63</v>
      </c>
      <c r="F76" s="7"/>
      <c r="G76" s="7"/>
    </row>
    <row r="77" spans="1:7" x14ac:dyDescent="0.3">
      <c r="A77" s="3" t="s">
        <v>163</v>
      </c>
      <c r="B77" s="38" t="s">
        <v>164</v>
      </c>
      <c r="C77" s="7">
        <v>0.25</v>
      </c>
      <c r="D77" s="7"/>
      <c r="E77" s="5" t="s">
        <v>63</v>
      </c>
      <c r="F77" s="7"/>
      <c r="G77" s="7"/>
    </row>
    <row r="78" spans="1:7" x14ac:dyDescent="0.3">
      <c r="A78" s="11" t="s">
        <v>165</v>
      </c>
      <c r="B78" s="40" t="s">
        <v>166</v>
      </c>
      <c r="C78" s="39"/>
      <c r="D78" s="39"/>
      <c r="E78" s="39"/>
      <c r="F78" s="39"/>
      <c r="G78" s="39"/>
    </row>
    <row r="79" spans="1:7" x14ac:dyDescent="0.3">
      <c r="A79" s="3" t="s">
        <v>167</v>
      </c>
      <c r="B79" s="45" t="s">
        <v>168</v>
      </c>
      <c r="C79" s="3">
        <v>0.5</v>
      </c>
      <c r="D79" s="3"/>
      <c r="E79" s="27" t="s">
        <v>12</v>
      </c>
      <c r="F79" s="3">
        <v>2</v>
      </c>
      <c r="G79" s="3"/>
    </row>
    <row r="80" spans="1:7" x14ac:dyDescent="0.3">
      <c r="A80" s="3" t="s">
        <v>169</v>
      </c>
      <c r="B80" s="7" t="s">
        <v>170</v>
      </c>
      <c r="C80" s="3">
        <v>0.75</v>
      </c>
      <c r="D80" s="3"/>
      <c r="E80" s="27" t="s">
        <v>12</v>
      </c>
      <c r="F80" s="3">
        <v>2</v>
      </c>
      <c r="G80" s="3"/>
    </row>
    <row r="81" spans="1:7" x14ac:dyDescent="0.3">
      <c r="A81" s="3" t="s">
        <v>171</v>
      </c>
      <c r="B81" s="7" t="s">
        <v>172</v>
      </c>
      <c r="C81" s="3">
        <v>1</v>
      </c>
      <c r="D81" s="3"/>
      <c r="E81" s="27" t="s">
        <v>12</v>
      </c>
      <c r="F81" s="3">
        <v>2</v>
      </c>
      <c r="G81" s="3"/>
    </row>
    <row r="82" spans="1:7" x14ac:dyDescent="0.3">
      <c r="A82" s="3" t="s">
        <v>173</v>
      </c>
      <c r="B82" s="7" t="s">
        <v>174</v>
      </c>
      <c r="C82" s="3">
        <v>0.25</v>
      </c>
      <c r="D82" s="3"/>
      <c r="E82" s="27" t="s">
        <v>12</v>
      </c>
      <c r="F82" s="3">
        <v>2</v>
      </c>
      <c r="G82" s="3"/>
    </row>
    <row r="83" spans="1:7" x14ac:dyDescent="0.3">
      <c r="A83" s="3" t="s">
        <v>175</v>
      </c>
      <c r="B83" s="56" t="s">
        <v>176</v>
      </c>
      <c r="C83" s="7">
        <v>0.25</v>
      </c>
      <c r="D83" s="7"/>
      <c r="E83" s="5" t="s">
        <v>63</v>
      </c>
      <c r="F83" s="7"/>
      <c r="G83" s="7"/>
    </row>
    <row r="84" spans="1:7" x14ac:dyDescent="0.3">
      <c r="A84" s="3" t="s">
        <v>177</v>
      </c>
      <c r="B84" s="56" t="s">
        <v>178</v>
      </c>
      <c r="C84" s="7">
        <v>2</v>
      </c>
      <c r="D84" s="7"/>
      <c r="E84" s="27" t="s">
        <v>12</v>
      </c>
      <c r="F84" s="7">
        <v>3</v>
      </c>
      <c r="G84" s="7"/>
    </row>
    <row r="85" spans="1:7" x14ac:dyDescent="0.3">
      <c r="A85" s="55" t="s">
        <v>179</v>
      </c>
      <c r="B85" s="63" t="s">
        <v>180</v>
      </c>
      <c r="C85" s="54">
        <v>0.4</v>
      </c>
      <c r="D85" s="54"/>
      <c r="E85" s="27" t="s">
        <v>12</v>
      </c>
      <c r="F85" s="54">
        <v>4</v>
      </c>
      <c r="G85" s="54"/>
    </row>
    <row r="86" spans="1:7" x14ac:dyDescent="0.3">
      <c r="A86" s="3" t="s">
        <v>181</v>
      </c>
      <c r="B86" s="63" t="s">
        <v>182</v>
      </c>
      <c r="C86" s="54">
        <v>3.5</v>
      </c>
      <c r="D86" s="54"/>
      <c r="E86" s="27" t="s">
        <v>12</v>
      </c>
      <c r="F86" s="54">
        <v>4</v>
      </c>
      <c r="G86" s="54"/>
    </row>
    <row r="87" spans="1:7" x14ac:dyDescent="0.3">
      <c r="A87" s="3" t="s">
        <v>183</v>
      </c>
      <c r="B87" s="7" t="s">
        <v>184</v>
      </c>
      <c r="C87" s="54">
        <v>0.5</v>
      </c>
      <c r="D87" s="7"/>
      <c r="E87" s="5" t="s">
        <v>63</v>
      </c>
      <c r="F87" s="7"/>
      <c r="G87" s="7"/>
    </row>
    <row r="88" spans="1:7" x14ac:dyDescent="0.3">
      <c r="A88" s="54"/>
      <c r="B88" s="54"/>
      <c r="C88" s="54"/>
      <c r="D88" s="54"/>
      <c r="E88" s="54"/>
      <c r="F88" s="54"/>
      <c r="G88" s="54"/>
    </row>
    <row r="89" spans="1:7" s="7" customFormat="1" x14ac:dyDescent="0.3"/>
    <row r="90" spans="1:7" x14ac:dyDescent="0.3">
      <c r="C90">
        <f>SUM(C4:C89)</f>
        <v>35.412500000000001</v>
      </c>
    </row>
    <row r="93" spans="1:7" x14ac:dyDescent="0.3">
      <c r="C93" s="67" t="s">
        <v>213</v>
      </c>
      <c r="D93" s="68">
        <f>(72-25)/72</f>
        <v>0.65277777777777779</v>
      </c>
    </row>
    <row r="94" spans="1:7" x14ac:dyDescent="0.3">
      <c r="C94" s="67" t="s">
        <v>214</v>
      </c>
      <c r="D94" s="69">
        <v>0.5</v>
      </c>
    </row>
  </sheetData>
  <mergeCells count="1">
    <mergeCell ref="A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7F91-BFF3-4679-8538-A7F05D2DFF65}">
  <dimension ref="A1:E85"/>
  <sheetViews>
    <sheetView topLeftCell="A59" workbookViewId="0">
      <selection activeCell="A93" sqref="A93"/>
    </sheetView>
  </sheetViews>
  <sheetFormatPr baseColWidth="10" defaultColWidth="8.88671875" defaultRowHeight="14.4" x14ac:dyDescent="0.3"/>
  <cols>
    <col min="1" max="1" width="91.44140625" customWidth="1"/>
    <col min="2" max="2" width="23.33203125" customWidth="1"/>
    <col min="3" max="3" width="17.5546875" customWidth="1"/>
    <col min="4" max="4" width="42.109375" customWidth="1"/>
    <col min="5" max="5" width="74.5546875" customWidth="1"/>
  </cols>
  <sheetData>
    <row r="1" spans="1:5" x14ac:dyDescent="0.3">
      <c r="A1" s="71" t="s">
        <v>185</v>
      </c>
      <c r="B1" s="72"/>
      <c r="C1" s="72"/>
      <c r="D1" s="72"/>
      <c r="E1" s="73"/>
    </row>
    <row r="2" spans="1:5" ht="79.5" customHeight="1" x14ac:dyDescent="0.3">
      <c r="A2" s="74" t="s">
        <v>186</v>
      </c>
      <c r="B2" s="75"/>
      <c r="C2" s="75"/>
      <c r="D2" s="75"/>
      <c r="E2" s="75"/>
    </row>
    <row r="3" spans="1:5" x14ac:dyDescent="0.3">
      <c r="A3" s="76" t="s">
        <v>187</v>
      </c>
      <c r="B3" s="77"/>
      <c r="C3" s="77"/>
      <c r="D3" s="77"/>
      <c r="E3" s="78"/>
    </row>
    <row r="4" spans="1:5" x14ac:dyDescent="0.3">
      <c r="A4" s="14" t="s">
        <v>188</v>
      </c>
      <c r="B4" s="14" t="s">
        <v>189</v>
      </c>
      <c r="C4" s="15" t="s">
        <v>190</v>
      </c>
      <c r="D4" s="14" t="s">
        <v>191</v>
      </c>
      <c r="E4" s="14" t="s">
        <v>192</v>
      </c>
    </row>
    <row r="5" spans="1:5" x14ac:dyDescent="0.3">
      <c r="A5" s="41" t="s">
        <v>193</v>
      </c>
      <c r="B5" s="29">
        <v>0.125</v>
      </c>
      <c r="C5" s="17">
        <v>6.25E-2</v>
      </c>
      <c r="D5" s="53" t="s">
        <v>194</v>
      </c>
      <c r="E5" s="51" t="s">
        <v>195</v>
      </c>
    </row>
    <row r="6" spans="1:5" x14ac:dyDescent="0.3">
      <c r="A6" s="42" t="s">
        <v>14</v>
      </c>
      <c r="B6" s="29">
        <v>0.125</v>
      </c>
      <c r="C6" s="17">
        <v>6.25E-2</v>
      </c>
      <c r="D6" s="53" t="s">
        <v>194</v>
      </c>
      <c r="E6" s="51" t="s">
        <v>195</v>
      </c>
    </row>
    <row r="7" spans="1:5" x14ac:dyDescent="0.3">
      <c r="A7" s="41" t="s">
        <v>196</v>
      </c>
      <c r="B7" s="29">
        <v>0.5</v>
      </c>
      <c r="C7" s="19">
        <v>0.25</v>
      </c>
      <c r="D7" s="53" t="s">
        <v>194</v>
      </c>
      <c r="E7" s="51" t="s">
        <v>195</v>
      </c>
    </row>
    <row r="8" spans="1:5" x14ac:dyDescent="0.3">
      <c r="A8" s="40" t="s">
        <v>18</v>
      </c>
      <c r="B8" s="29">
        <v>0.125</v>
      </c>
      <c r="C8" s="19">
        <v>6.25E-2</v>
      </c>
      <c r="D8" s="53" t="s">
        <v>194</v>
      </c>
      <c r="E8" s="51" t="s">
        <v>195</v>
      </c>
    </row>
    <row r="9" spans="1:5" x14ac:dyDescent="0.3">
      <c r="A9" s="34"/>
      <c r="B9" s="29"/>
      <c r="C9" s="20"/>
      <c r="D9" s="18"/>
      <c r="E9" s="57"/>
    </row>
    <row r="10" spans="1:5" x14ac:dyDescent="0.3">
      <c r="A10" s="23"/>
      <c r="B10" s="22"/>
      <c r="C10" s="22"/>
      <c r="D10" s="18"/>
      <c r="E10" s="30"/>
    </row>
    <row r="11" spans="1:5" x14ac:dyDescent="0.3">
      <c r="A11" s="31"/>
      <c r="B11" s="24">
        <f>SUM(B5:B8)</f>
        <v>0.875</v>
      </c>
      <c r="C11" s="24">
        <f>SUM(C5:C8)</f>
        <v>0.4375</v>
      </c>
      <c r="D11" s="25"/>
      <c r="E11" s="30"/>
    </row>
    <row r="12" spans="1:5" ht="105" customHeight="1" x14ac:dyDescent="0.3">
      <c r="A12" s="79" t="s">
        <v>197</v>
      </c>
      <c r="B12" s="80"/>
      <c r="C12" s="80"/>
      <c r="D12" s="80"/>
      <c r="E12" s="80"/>
    </row>
    <row r="17" spans="1:5" ht="15" customHeight="1" x14ac:dyDescent="0.3">
      <c r="A17" s="71" t="s">
        <v>198</v>
      </c>
      <c r="B17" s="72"/>
      <c r="C17" s="72"/>
      <c r="D17" s="72"/>
      <c r="E17" s="73"/>
    </row>
    <row r="18" spans="1:5" ht="15" customHeight="1" x14ac:dyDescent="0.3">
      <c r="A18" s="74" t="s">
        <v>199</v>
      </c>
      <c r="B18" s="75"/>
      <c r="C18" s="75"/>
      <c r="D18" s="75"/>
      <c r="E18" s="75"/>
    </row>
    <row r="19" spans="1:5" ht="15" customHeight="1" x14ac:dyDescent="0.3">
      <c r="A19" s="76" t="s">
        <v>200</v>
      </c>
      <c r="B19" s="77"/>
      <c r="C19" s="77"/>
      <c r="D19" s="77"/>
      <c r="E19" s="78"/>
    </row>
    <row r="20" spans="1:5" x14ac:dyDescent="0.3">
      <c r="A20" s="35" t="s">
        <v>188</v>
      </c>
      <c r="B20" s="35" t="s">
        <v>189</v>
      </c>
      <c r="C20" s="36" t="s">
        <v>190</v>
      </c>
      <c r="D20" s="35" t="s">
        <v>191</v>
      </c>
      <c r="E20" s="35" t="s">
        <v>192</v>
      </c>
    </row>
    <row r="21" spans="1:5" x14ac:dyDescent="0.3">
      <c r="A21" s="43" t="s">
        <v>201</v>
      </c>
      <c r="B21" s="29">
        <v>0.5</v>
      </c>
      <c r="C21" s="20">
        <v>0.25</v>
      </c>
      <c r="D21" s="52" t="s">
        <v>194</v>
      </c>
      <c r="E21" s="51" t="s">
        <v>195</v>
      </c>
    </row>
    <row r="22" spans="1:5" x14ac:dyDescent="0.3">
      <c r="A22" s="44" t="s">
        <v>35</v>
      </c>
      <c r="B22" s="29">
        <v>6.25E-2</v>
      </c>
      <c r="C22" s="20">
        <v>6.25E-2</v>
      </c>
      <c r="D22" s="53" t="s">
        <v>194</v>
      </c>
      <c r="E22" s="51" t="s">
        <v>195</v>
      </c>
    </row>
    <row r="23" spans="1:5" x14ac:dyDescent="0.3">
      <c r="A23" s="43" t="s">
        <v>37</v>
      </c>
      <c r="B23" s="29">
        <v>6.25E-2</v>
      </c>
      <c r="C23" s="20">
        <v>6.25E-2</v>
      </c>
      <c r="D23" s="53" t="s">
        <v>194</v>
      </c>
      <c r="E23" s="51" t="s">
        <v>195</v>
      </c>
    </row>
    <row r="24" spans="1:5" x14ac:dyDescent="0.3">
      <c r="A24" s="44" t="s">
        <v>51</v>
      </c>
      <c r="B24" s="29">
        <v>0.3</v>
      </c>
      <c r="C24" s="20">
        <v>0.1875</v>
      </c>
      <c r="D24" s="53" t="s">
        <v>194</v>
      </c>
      <c r="E24" s="51" t="s">
        <v>195</v>
      </c>
    </row>
    <row r="25" spans="1:5" x14ac:dyDescent="0.3">
      <c r="A25" s="44" t="s">
        <v>202</v>
      </c>
      <c r="B25" s="29">
        <v>6.25E-2</v>
      </c>
      <c r="C25" s="20">
        <v>6.25E-2</v>
      </c>
      <c r="D25" s="53" t="s">
        <v>194</v>
      </c>
      <c r="E25" s="51" t="s">
        <v>195</v>
      </c>
    </row>
    <row r="26" spans="1:5" x14ac:dyDescent="0.3">
      <c r="A26" s="16" t="s">
        <v>27</v>
      </c>
      <c r="B26" s="19">
        <v>6.25E-2</v>
      </c>
      <c r="C26" s="20">
        <v>6.25E-2</v>
      </c>
      <c r="D26" s="53" t="s">
        <v>194</v>
      </c>
      <c r="E26" s="51" t="s">
        <v>195</v>
      </c>
    </row>
    <row r="27" spans="1:5" x14ac:dyDescent="0.3">
      <c r="A27" s="16" t="s">
        <v>29</v>
      </c>
      <c r="B27" s="17">
        <v>6.25E-2</v>
      </c>
      <c r="C27" s="20">
        <v>6.25E-2</v>
      </c>
      <c r="D27" s="53" t="s">
        <v>194</v>
      </c>
      <c r="E27" s="51" t="s">
        <v>195</v>
      </c>
    </row>
    <row r="28" spans="1:5" x14ac:dyDescent="0.3">
      <c r="A28" s="48" t="s">
        <v>11</v>
      </c>
      <c r="B28" s="29">
        <v>0.375</v>
      </c>
      <c r="C28" s="29">
        <v>0.25</v>
      </c>
      <c r="D28" s="53" t="s">
        <v>194</v>
      </c>
      <c r="E28" s="51" t="s">
        <v>195</v>
      </c>
    </row>
    <row r="29" spans="1:5" x14ac:dyDescent="0.3">
      <c r="A29" s="16" t="s">
        <v>170</v>
      </c>
      <c r="B29" s="29">
        <v>0.75</v>
      </c>
      <c r="C29" s="29">
        <v>0.5</v>
      </c>
      <c r="D29" s="53" t="s">
        <v>194</v>
      </c>
      <c r="E29" s="51" t="s">
        <v>195</v>
      </c>
    </row>
    <row r="30" spans="1:5" x14ac:dyDescent="0.3">
      <c r="A30" s="16" t="s">
        <v>172</v>
      </c>
      <c r="B30" s="29">
        <v>2</v>
      </c>
      <c r="C30" s="29">
        <v>1.5</v>
      </c>
      <c r="D30" s="53" t="s">
        <v>194</v>
      </c>
      <c r="E30" s="51" t="s">
        <v>195</v>
      </c>
    </row>
    <row r="31" spans="1:5" x14ac:dyDescent="0.3">
      <c r="A31" s="48" t="s">
        <v>25</v>
      </c>
      <c r="B31" s="29">
        <v>1</v>
      </c>
      <c r="C31" s="29">
        <v>0.5</v>
      </c>
      <c r="D31" s="53" t="s">
        <v>194</v>
      </c>
      <c r="E31" s="51" t="s">
        <v>195</v>
      </c>
    </row>
    <row r="32" spans="1:5" x14ac:dyDescent="0.3">
      <c r="A32" s="48" t="s">
        <v>49</v>
      </c>
      <c r="B32" s="29">
        <v>0.25</v>
      </c>
      <c r="C32" s="29">
        <v>0.125</v>
      </c>
      <c r="D32" s="53" t="s">
        <v>194</v>
      </c>
      <c r="E32" s="51" t="s">
        <v>195</v>
      </c>
    </row>
    <row r="33" spans="1:5" x14ac:dyDescent="0.3">
      <c r="A33" s="16" t="s">
        <v>95</v>
      </c>
      <c r="B33" s="29">
        <v>0.25</v>
      </c>
      <c r="C33" s="29">
        <v>0.125</v>
      </c>
      <c r="D33" s="53" t="s">
        <v>194</v>
      </c>
      <c r="E33" s="51" t="s">
        <v>195</v>
      </c>
    </row>
    <row r="34" spans="1:5" x14ac:dyDescent="0.3">
      <c r="A34" s="16" t="s">
        <v>203</v>
      </c>
      <c r="B34" s="29">
        <v>0.375</v>
      </c>
      <c r="C34" s="29">
        <v>0.25</v>
      </c>
      <c r="D34" s="53" t="s">
        <v>194</v>
      </c>
      <c r="E34" s="51" t="s">
        <v>195</v>
      </c>
    </row>
    <row r="35" spans="1:5" x14ac:dyDescent="0.3">
      <c r="A35" s="48" t="s">
        <v>133</v>
      </c>
      <c r="B35" s="29">
        <v>0.25</v>
      </c>
      <c r="C35" s="29">
        <v>0.25</v>
      </c>
      <c r="D35" s="53" t="s">
        <v>194</v>
      </c>
      <c r="E35" s="51" t="s">
        <v>195</v>
      </c>
    </row>
    <row r="36" spans="1:5" x14ac:dyDescent="0.3">
      <c r="A36" s="48" t="s">
        <v>20</v>
      </c>
      <c r="B36" s="29">
        <v>6.25E-2</v>
      </c>
      <c r="C36" s="29">
        <v>6.25E-2</v>
      </c>
      <c r="D36" s="53" t="s">
        <v>194</v>
      </c>
      <c r="E36" s="51" t="s">
        <v>195</v>
      </c>
    </row>
    <row r="37" spans="1:5" x14ac:dyDescent="0.3">
      <c r="A37" s="16" t="s">
        <v>204</v>
      </c>
      <c r="B37" s="29">
        <v>6.25E-2</v>
      </c>
      <c r="C37" s="29">
        <v>6.25E-2</v>
      </c>
      <c r="D37" s="53" t="s">
        <v>194</v>
      </c>
      <c r="E37" s="51" t="s">
        <v>195</v>
      </c>
    </row>
    <row r="38" spans="1:5" x14ac:dyDescent="0.3">
      <c r="A38" s="49" t="s">
        <v>87</v>
      </c>
      <c r="B38" s="29">
        <v>0.125</v>
      </c>
      <c r="C38" s="29">
        <v>0.125</v>
      </c>
      <c r="D38" s="53" t="s">
        <v>194</v>
      </c>
      <c r="E38" s="51" t="s">
        <v>195</v>
      </c>
    </row>
    <row r="39" spans="1:5" x14ac:dyDescent="0.3">
      <c r="A39" s="50" t="s">
        <v>39</v>
      </c>
      <c r="B39" s="29">
        <v>6.25E-2</v>
      </c>
      <c r="C39" s="29">
        <v>6.25E-2</v>
      </c>
      <c r="D39" s="53" t="s">
        <v>194</v>
      </c>
      <c r="E39" s="51" t="s">
        <v>195</v>
      </c>
    </row>
    <row r="40" spans="1:5" x14ac:dyDescent="0.3">
      <c r="A40" s="50" t="s">
        <v>41</v>
      </c>
      <c r="B40" s="29">
        <v>0.125</v>
      </c>
      <c r="C40" s="29">
        <v>0.25</v>
      </c>
      <c r="D40" s="53" t="s">
        <v>194</v>
      </c>
      <c r="E40" s="51" t="s">
        <v>195</v>
      </c>
    </row>
    <row r="41" spans="1:5" x14ac:dyDescent="0.3">
      <c r="A41" s="50" t="s">
        <v>55</v>
      </c>
      <c r="B41" s="29">
        <v>6.25E-2</v>
      </c>
      <c r="C41" s="29">
        <v>6.25E-2</v>
      </c>
      <c r="D41" s="53" t="s">
        <v>194</v>
      </c>
      <c r="E41" s="51" t="s">
        <v>195</v>
      </c>
    </row>
    <row r="42" spans="1:5" x14ac:dyDescent="0.3">
      <c r="A42" s="21"/>
      <c r="B42" s="24">
        <f>SUM(B21:B41)</f>
        <v>6.8624999999999998</v>
      </c>
      <c r="C42" s="24">
        <f>SUM(C21:C41)</f>
        <v>4.875</v>
      </c>
      <c r="D42" s="37"/>
      <c r="E42" s="26"/>
    </row>
    <row r="43" spans="1:5" ht="39.75" customHeight="1" x14ac:dyDescent="0.3">
      <c r="A43" s="79" t="s">
        <v>197</v>
      </c>
      <c r="B43" s="80"/>
      <c r="C43" s="80"/>
      <c r="D43" s="80"/>
      <c r="E43" s="80"/>
    </row>
    <row r="49" spans="1:5" x14ac:dyDescent="0.3">
      <c r="A49" s="71" t="s">
        <v>205</v>
      </c>
      <c r="B49" s="72"/>
      <c r="C49" s="72"/>
      <c r="D49" s="72"/>
      <c r="E49" s="73"/>
    </row>
    <row r="50" spans="1:5" x14ac:dyDescent="0.3">
      <c r="A50" s="74" t="s">
        <v>206</v>
      </c>
      <c r="B50" s="75"/>
      <c r="C50" s="75"/>
      <c r="D50" s="75"/>
      <c r="E50" s="75"/>
    </row>
    <row r="51" spans="1:5" x14ac:dyDescent="0.3">
      <c r="A51" s="76" t="s">
        <v>200</v>
      </c>
      <c r="B51" s="77"/>
      <c r="C51" s="77"/>
      <c r="D51" s="77"/>
      <c r="E51" s="78"/>
    </row>
    <row r="52" spans="1:5" x14ac:dyDescent="0.3">
      <c r="A52" s="35" t="s">
        <v>188</v>
      </c>
      <c r="B52" s="35" t="s">
        <v>189</v>
      </c>
      <c r="C52" s="36" t="s">
        <v>190</v>
      </c>
      <c r="D52" s="35" t="s">
        <v>191</v>
      </c>
      <c r="E52" s="35" t="s">
        <v>192</v>
      </c>
    </row>
    <row r="53" spans="1:5" x14ac:dyDescent="0.3">
      <c r="A53" s="7" t="s">
        <v>207</v>
      </c>
      <c r="B53" s="29">
        <v>0.125</v>
      </c>
      <c r="C53" s="29">
        <v>6.25E-2</v>
      </c>
      <c r="D53" s="53" t="s">
        <v>194</v>
      </c>
      <c r="E53" s="51" t="s">
        <v>195</v>
      </c>
    </row>
    <row r="54" spans="1:5" x14ac:dyDescent="0.3">
      <c r="A54" s="7" t="s">
        <v>59</v>
      </c>
      <c r="B54" s="29">
        <v>0.5</v>
      </c>
      <c r="C54" s="29">
        <v>0.5</v>
      </c>
      <c r="D54" s="53" t="s">
        <v>194</v>
      </c>
      <c r="E54" s="51" t="s">
        <v>195</v>
      </c>
    </row>
    <row r="55" spans="1:5" x14ac:dyDescent="0.3">
      <c r="A55" s="7" t="s">
        <v>97</v>
      </c>
      <c r="B55" s="29">
        <v>0.125</v>
      </c>
      <c r="C55" s="29">
        <v>0.125</v>
      </c>
      <c r="D55" s="53" t="s">
        <v>194</v>
      </c>
      <c r="E55" s="51" t="s">
        <v>195</v>
      </c>
    </row>
    <row r="56" spans="1:5" x14ac:dyDescent="0.3">
      <c r="A56" s="3" t="s">
        <v>100</v>
      </c>
      <c r="B56" s="29">
        <v>0.25</v>
      </c>
      <c r="C56" s="29">
        <v>0.125</v>
      </c>
      <c r="D56" s="53" t="s">
        <v>194</v>
      </c>
      <c r="E56" s="51" t="s">
        <v>195</v>
      </c>
    </row>
    <row r="57" spans="1:5" x14ac:dyDescent="0.3">
      <c r="A57" s="3" t="s">
        <v>102</v>
      </c>
      <c r="B57" s="29">
        <v>6.25E-2</v>
      </c>
      <c r="C57" s="29">
        <v>6.25E-2</v>
      </c>
      <c r="D57" s="53" t="s">
        <v>194</v>
      </c>
      <c r="E57" s="51" t="s">
        <v>195</v>
      </c>
    </row>
    <row r="58" spans="1:5" x14ac:dyDescent="0.3">
      <c r="A58" s="3" t="s">
        <v>104</v>
      </c>
      <c r="B58" s="29">
        <v>6.25E-2</v>
      </c>
      <c r="C58" s="29">
        <v>6.25E-2</v>
      </c>
      <c r="D58" s="53" t="s">
        <v>194</v>
      </c>
      <c r="E58" s="51" t="s">
        <v>195</v>
      </c>
    </row>
    <row r="59" spans="1:5" x14ac:dyDescent="0.3">
      <c r="A59" s="65" t="s">
        <v>89</v>
      </c>
      <c r="B59" s="29">
        <v>6.25E-2</v>
      </c>
      <c r="C59" s="29">
        <v>6.25E-2</v>
      </c>
      <c r="D59" s="53" t="s">
        <v>194</v>
      </c>
      <c r="E59" s="51" t="s">
        <v>195</v>
      </c>
    </row>
    <row r="60" spans="1:5" x14ac:dyDescent="0.3">
      <c r="A60" s="32" t="s">
        <v>108</v>
      </c>
      <c r="B60" s="29">
        <v>1</v>
      </c>
      <c r="C60" s="29">
        <v>0.5</v>
      </c>
      <c r="D60" s="53" t="s">
        <v>194</v>
      </c>
      <c r="E60" s="51" t="s">
        <v>195</v>
      </c>
    </row>
    <row r="61" spans="1:5" x14ac:dyDescent="0.3">
      <c r="A61" s="64" t="s">
        <v>110</v>
      </c>
      <c r="B61" s="29">
        <v>0.25</v>
      </c>
      <c r="C61" s="29">
        <v>0.25</v>
      </c>
      <c r="D61" s="53" t="s">
        <v>194</v>
      </c>
      <c r="E61" s="51" t="s">
        <v>195</v>
      </c>
    </row>
    <row r="62" spans="1:5" x14ac:dyDescent="0.3">
      <c r="A62" s="64" t="s">
        <v>112</v>
      </c>
      <c r="B62" s="29">
        <v>6.25E-2</v>
      </c>
      <c r="C62" s="29">
        <v>6.25E-2</v>
      </c>
      <c r="D62" s="53" t="s">
        <v>194</v>
      </c>
      <c r="E62" s="51" t="s">
        <v>195</v>
      </c>
    </row>
    <row r="63" spans="1:5" x14ac:dyDescent="0.3">
      <c r="A63" s="64" t="s">
        <v>114</v>
      </c>
      <c r="B63" s="29">
        <v>0.25</v>
      </c>
      <c r="C63" s="29">
        <v>0.125</v>
      </c>
      <c r="D63" s="53" t="s">
        <v>194</v>
      </c>
      <c r="E63" s="51" t="s">
        <v>195</v>
      </c>
    </row>
    <row r="64" spans="1:5" x14ac:dyDescent="0.3">
      <c r="A64" s="32" t="s">
        <v>116</v>
      </c>
      <c r="B64" s="29">
        <v>6.25E-2</v>
      </c>
      <c r="C64" s="29">
        <v>6.25E-2</v>
      </c>
      <c r="D64" s="53" t="s">
        <v>194</v>
      </c>
      <c r="E64" s="51" t="s">
        <v>195</v>
      </c>
    </row>
    <row r="65" spans="1:5" x14ac:dyDescent="0.3">
      <c r="A65" s="56" t="s">
        <v>208</v>
      </c>
      <c r="B65" s="29">
        <v>2</v>
      </c>
      <c r="C65" s="29">
        <v>2</v>
      </c>
      <c r="D65" s="53" t="s">
        <v>194</v>
      </c>
      <c r="E65" s="51" t="s">
        <v>195</v>
      </c>
    </row>
    <row r="66" spans="1:5" x14ac:dyDescent="0.3">
      <c r="A66" s="58"/>
      <c r="B66" s="58"/>
      <c r="C66" s="58"/>
      <c r="D66" s="58"/>
      <c r="E66" s="58"/>
    </row>
    <row r="67" spans="1:5" x14ac:dyDescent="0.3">
      <c r="A67" s="58"/>
      <c r="B67" s="58"/>
      <c r="C67" s="58"/>
      <c r="D67" s="58"/>
      <c r="E67" s="58"/>
    </row>
    <row r="68" spans="1:5" x14ac:dyDescent="0.3">
      <c r="A68" s="58"/>
      <c r="B68" s="59">
        <f>SUM(B53:B67)</f>
        <v>4.8125</v>
      </c>
      <c r="C68" s="59">
        <f>SUM(C53:C67)</f>
        <v>4</v>
      </c>
      <c r="D68" s="58"/>
      <c r="E68" s="60"/>
    </row>
    <row r="69" spans="1:5" ht="20.25" customHeight="1" x14ac:dyDescent="0.3">
      <c r="A69" s="79" t="s">
        <v>197</v>
      </c>
      <c r="B69" s="80"/>
      <c r="C69" s="80"/>
      <c r="D69" s="80"/>
      <c r="E69" s="80"/>
    </row>
    <row r="75" spans="1:5" x14ac:dyDescent="0.3">
      <c r="A75" s="71" t="s">
        <v>209</v>
      </c>
      <c r="B75" s="72"/>
      <c r="C75" s="72"/>
      <c r="D75" s="72"/>
      <c r="E75" s="73"/>
    </row>
    <row r="76" spans="1:5" ht="30.75" customHeight="1" x14ac:dyDescent="0.3">
      <c r="A76" s="74" t="s">
        <v>210</v>
      </c>
      <c r="B76" s="75"/>
      <c r="C76" s="75"/>
      <c r="D76" s="75"/>
      <c r="E76" s="75"/>
    </row>
    <row r="77" spans="1:5" x14ac:dyDescent="0.3">
      <c r="A77" s="76" t="s">
        <v>200</v>
      </c>
      <c r="B77" s="77"/>
      <c r="C77" s="77"/>
      <c r="D77" s="77"/>
      <c r="E77" s="78"/>
    </row>
    <row r="78" spans="1:5" x14ac:dyDescent="0.3">
      <c r="A78" s="35" t="s">
        <v>188</v>
      </c>
      <c r="B78" s="35" t="s">
        <v>189</v>
      </c>
      <c r="C78" s="36" t="s">
        <v>190</v>
      </c>
      <c r="D78" s="35" t="s">
        <v>191</v>
      </c>
      <c r="E78" s="35" t="s">
        <v>192</v>
      </c>
    </row>
    <row r="79" spans="1:5" x14ac:dyDescent="0.3">
      <c r="A79" s="63" t="s">
        <v>211</v>
      </c>
      <c r="B79" s="29">
        <v>0.4</v>
      </c>
      <c r="C79" s="29">
        <v>0.5</v>
      </c>
      <c r="D79" s="53" t="s">
        <v>194</v>
      </c>
      <c r="E79" s="51" t="s">
        <v>195</v>
      </c>
    </row>
    <row r="80" spans="1:5" x14ac:dyDescent="0.3">
      <c r="A80" s="63" t="s">
        <v>212</v>
      </c>
      <c r="B80" s="29">
        <v>3.5</v>
      </c>
      <c r="C80" s="29">
        <v>2.5</v>
      </c>
      <c r="D80" s="53" t="s">
        <v>194</v>
      </c>
      <c r="E80" s="51" t="s">
        <v>195</v>
      </c>
    </row>
    <row r="81" spans="1:5" x14ac:dyDescent="0.3">
      <c r="A81" s="32"/>
      <c r="B81" s="29"/>
      <c r="C81" s="29"/>
      <c r="D81" s="53"/>
      <c r="E81" s="51"/>
    </row>
    <row r="82" spans="1:5" x14ac:dyDescent="0.3">
      <c r="A82" s="64"/>
      <c r="B82" s="29"/>
      <c r="C82" s="29"/>
      <c r="D82" s="53"/>
      <c r="E82" s="51"/>
    </row>
    <row r="83" spans="1:5" x14ac:dyDescent="0.3">
      <c r="A83" s="58"/>
      <c r="B83" s="58"/>
      <c r="C83" s="58"/>
      <c r="D83" s="58"/>
      <c r="E83" s="58"/>
    </row>
    <row r="84" spans="1:5" x14ac:dyDescent="0.3">
      <c r="A84" s="58"/>
      <c r="B84" s="59">
        <f>SUM(B79:B83)</f>
        <v>3.9</v>
      </c>
      <c r="C84" s="59">
        <f>SUM(C79:C83)</f>
        <v>3</v>
      </c>
      <c r="D84" s="58"/>
      <c r="E84" s="60"/>
    </row>
    <row r="85" spans="1:5" ht="34.5" customHeight="1" x14ac:dyDescent="0.3">
      <c r="A85" s="79" t="s">
        <v>197</v>
      </c>
      <c r="B85" s="80"/>
      <c r="C85" s="80"/>
      <c r="D85" s="80"/>
      <c r="E85" s="80"/>
    </row>
  </sheetData>
  <mergeCells count="16">
    <mergeCell ref="A75:E75"/>
    <mergeCell ref="A76:E76"/>
    <mergeCell ref="A77:E77"/>
    <mergeCell ref="A85:E85"/>
    <mergeCell ref="A1:E1"/>
    <mergeCell ref="A2:E2"/>
    <mergeCell ref="A3:E3"/>
    <mergeCell ref="A12:E12"/>
    <mergeCell ref="A17:E17"/>
    <mergeCell ref="A49:E49"/>
    <mergeCell ref="A50:E50"/>
    <mergeCell ref="A51:E51"/>
    <mergeCell ref="A69:E69"/>
    <mergeCell ref="A18:E18"/>
    <mergeCell ref="A19:E19"/>
    <mergeCell ref="A43:E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F87962147964EB6CD04429EFF9E71" ma:contentTypeVersion="3" ma:contentTypeDescription="Crée un document." ma:contentTypeScope="" ma:versionID="8327f559dc2f4c6795c18a88a28b9b73">
  <xsd:schema xmlns:xsd="http://www.w3.org/2001/XMLSchema" xmlns:xs="http://www.w3.org/2001/XMLSchema" xmlns:p="http://schemas.microsoft.com/office/2006/metadata/properties" xmlns:ns2="a454569e-b180-44a7-b868-55bbc09e644b" targetNamespace="http://schemas.microsoft.com/office/2006/metadata/properties" ma:root="true" ma:fieldsID="f378499c2119b578697f35624ecb07d7" ns2:_="">
    <xsd:import namespace="a454569e-b180-44a7-b868-55bbc09e64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4569e-b180-44a7-b868-55bbc09e6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6CDA52-683F-496D-AA03-2691823C4C2F}">
  <ds:schemaRefs>
    <ds:schemaRef ds:uri="a454569e-b180-44a7-b868-55bbc09e644b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D96617-5AD6-43A5-836A-3AE5BEED8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4569e-b180-44a7-b868-55bbc09e64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6712C0-7761-4113-A5C2-A05097265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 1</vt:lpstr>
      <vt:lpstr>Sprints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rebhi walid</dc:creator>
  <cp:keywords/>
  <dc:description/>
  <cp:lastModifiedBy>Abderrahim ALOUINI</cp:lastModifiedBy>
  <cp:revision/>
  <dcterms:created xsi:type="dcterms:W3CDTF">2025-08-26T14:18:15Z</dcterms:created>
  <dcterms:modified xsi:type="dcterms:W3CDTF">2025-10-28T11:48:26Z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0x0101000EEF87962147964EB6CD04429EFF9E71</vt:lpwstr>
  </property>
</Properties>
</file>