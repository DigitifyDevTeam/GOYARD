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/Users/an0n1m0u5/Desktop/"/>
    </mc:Choice>
  </mc:AlternateContent>
  <xr:revisionPtr revIDLastSave="3" documentId="8_{7BD0B5CE-8855-CF40-A7EA-0CE485A9F9AC}" xr6:coauthVersionLast="47" xr6:coauthVersionMax="47" xr10:uidLastSave="{B9C3EA5C-5445-4B10-A1AC-8EB04E8322DD}"/>
  <bookViews>
    <workbookView xWindow="780" yWindow="1000" windowWidth="27640" windowHeight="15840" xr2:uid="{E6A175DB-01A0-6845-887E-11DE6D23E906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9" i="1" s="1"/>
  <c r="E10" i="1" s="1"/>
  <c r="D8" i="1"/>
  <c r="D9" i="1" s="1"/>
  <c r="D10" i="1" s="1"/>
  <c r="C8" i="1"/>
  <c r="C9" i="1" s="1"/>
  <c r="C10" i="1" s="1"/>
  <c r="B8" i="1"/>
  <c r="B9" i="1" s="1"/>
  <c r="B10" i="1" s="1"/>
  <c r="O7" i="1"/>
  <c r="O8" i="1" s="1"/>
  <c r="O9" i="1" s="1"/>
  <c r="O10" i="1" s="1"/>
  <c r="N7" i="1"/>
  <c r="N8" i="1" s="1"/>
  <c r="N9" i="1" s="1"/>
  <c r="N10" i="1" s="1"/>
  <c r="M7" i="1"/>
  <c r="M8" i="1" s="1"/>
  <c r="M9" i="1" s="1"/>
  <c r="M10" i="1" s="1"/>
  <c r="L7" i="1"/>
  <c r="L8" i="1" s="1"/>
  <c r="L9" i="1" s="1"/>
  <c r="L10" i="1" s="1"/>
  <c r="K7" i="1"/>
  <c r="K8" i="1" s="1"/>
  <c r="K9" i="1" s="1"/>
  <c r="K10" i="1" s="1"/>
  <c r="J7" i="1"/>
  <c r="J8" i="1" s="1"/>
  <c r="J9" i="1" s="1"/>
  <c r="J10" i="1" s="1"/>
  <c r="I7" i="1"/>
  <c r="I8" i="1" s="1"/>
  <c r="I9" i="1" s="1"/>
  <c r="I10" i="1" s="1"/>
  <c r="H7" i="1"/>
  <c r="H8" i="1" s="1"/>
  <c r="H9" i="1" s="1"/>
  <c r="H10" i="1" s="1"/>
  <c r="G7" i="1"/>
  <c r="G8" i="1" s="1"/>
  <c r="G9" i="1" s="1"/>
  <c r="G10" i="1" s="1"/>
  <c r="F7" i="1"/>
  <c r="F8" i="1" s="1"/>
  <c r="F9" i="1" s="1"/>
  <c r="F10" i="1" s="1"/>
  <c r="O4" i="1"/>
  <c r="N4" i="1"/>
  <c r="M4" i="1"/>
  <c r="L4" i="1"/>
  <c r="K4" i="1"/>
  <c r="J4" i="1"/>
  <c r="I4" i="1"/>
  <c r="I5" i="1" s="1"/>
  <c r="H4" i="1"/>
  <c r="H5" i="1" s="1"/>
  <c r="G4" i="1"/>
  <c r="G5" i="1" s="1"/>
  <c r="F4" i="1"/>
  <c r="F5" i="1" s="1"/>
  <c r="E4" i="1"/>
  <c r="E5" i="1" s="1"/>
  <c r="D4" i="1"/>
  <c r="D5" i="1" s="1"/>
  <c r="C4" i="1"/>
  <c r="C5" i="1" s="1"/>
  <c r="B4" i="1"/>
  <c r="B5" i="1" s="1"/>
</calcChain>
</file>

<file path=xl/sharedStrings.xml><?xml version="1.0" encoding="utf-8"?>
<sst xmlns="http://schemas.openxmlformats.org/spreadsheetml/2006/main" count="61" uniqueCount="58">
  <si>
    <t>Volume</t>
  </si>
  <si>
    <r>
      <rPr>
        <b/>
        <sz val="11"/>
        <rFont val="Calibri"/>
        <family val="1"/>
      </rPr>
      <t>Km</t>
    </r>
  </si>
  <si>
    <t>0-50</t>
  </si>
  <si>
    <t>50-100</t>
  </si>
  <si>
    <t>100-200</t>
  </si>
  <si>
    <t>200-300</t>
  </si>
  <si>
    <t>300-400</t>
  </si>
  <si>
    <t>400-500</t>
  </si>
  <si>
    <t>500-600</t>
  </si>
  <si>
    <t>600-850</t>
  </si>
  <si>
    <t>850-1000</t>
  </si>
  <si>
    <t>Option</t>
  </si>
  <si>
    <t>Mise en carton fragile</t>
  </si>
  <si>
    <t>12,5€/m3</t>
  </si>
  <si>
    <t>Mise en carton complete</t>
  </si>
  <si>
    <t>30€/m3</t>
  </si>
  <si>
    <t>Démontage et remontage</t>
  </si>
  <si>
    <t>8€/m3 jusqu’à 200km</t>
  </si>
  <si>
    <t>au dela 16€/m3</t>
  </si>
  <si>
    <t>Escale</t>
  </si>
  <si>
    <t>Valeur des biens</t>
  </si>
  <si>
    <t>0€ jusqu’à 30.000€ assuré</t>
  </si>
  <si>
    <t>Au dela, 0,50% du montant total assuré</t>
  </si>
  <si>
    <t>Portage</t>
  </si>
  <si>
    <t>Distance</t>
  </si>
  <si>
    <t>0-15M</t>
  </si>
  <si>
    <t>15-25m</t>
  </si>
  <si>
    <t>25-35m</t>
  </si>
  <si>
    <t>35-45m</t>
  </si>
  <si>
    <t>45-55m</t>
  </si>
  <si>
    <t>55-65m</t>
  </si>
  <si>
    <t>Au dela, le portage est facturé 109€ par tranche de 10m supplémentaire</t>
  </si>
  <si>
    <t>Monte Meuble</t>
  </si>
  <si>
    <t>Etage a monter</t>
  </si>
  <si>
    <t>1er au 6eme étage</t>
  </si>
  <si>
    <t>6eme au 9eme étage</t>
  </si>
  <si>
    <t>Au dela de 9 étages</t>
  </si>
  <si>
    <t>Demi journée 300€</t>
  </si>
  <si>
    <t>Demi journée 450€</t>
  </si>
  <si>
    <t>Au dela, 100€ par étage supplémentaire</t>
  </si>
  <si>
    <t>Journée 450€</t>
  </si>
  <si>
    <t>Journée 550€</t>
  </si>
  <si>
    <t>Ascenseur</t>
  </si>
  <si>
    <t>taille ascenseur</t>
  </si>
  <si>
    <t>2-3personnes</t>
  </si>
  <si>
    <t>3-4personnes</t>
  </si>
  <si>
    <t>4-6personnes</t>
  </si>
  <si>
    <t>6-8personnes ou plus</t>
  </si>
  <si>
    <t>Voir prix étage</t>
  </si>
  <si>
    <t>Ascenseur demi étage =&gt; 150€</t>
  </si>
  <si>
    <r>
      <rPr>
        <sz val="11"/>
        <rFont val="Calibri"/>
        <family val="1"/>
      </rPr>
      <t>Supplément</t>
    </r>
  </si>
  <si>
    <r>
      <rPr>
        <sz val="11"/>
        <rFont val="Calibri"/>
        <family val="1"/>
      </rPr>
      <t>Prix €/m3</t>
    </r>
  </si>
  <si>
    <r>
      <rPr>
        <sz val="11"/>
        <rFont val="Calibri"/>
        <family val="1"/>
      </rPr>
      <t>1er étage</t>
    </r>
  </si>
  <si>
    <r>
      <rPr>
        <sz val="11"/>
        <rFont val="Calibri"/>
        <family val="1"/>
      </rPr>
      <t>2ème étage</t>
    </r>
  </si>
  <si>
    <r>
      <rPr>
        <sz val="11"/>
        <rFont val="Calibri"/>
        <family val="1"/>
      </rPr>
      <t>3ème étage</t>
    </r>
  </si>
  <si>
    <r>
      <rPr>
        <sz val="11"/>
        <rFont val="Calibri"/>
        <family val="1"/>
      </rPr>
      <t>4ème étage</t>
    </r>
  </si>
  <si>
    <r>
      <rPr>
        <sz val="11"/>
        <rFont val="Calibri"/>
        <family val="1"/>
      </rPr>
      <t>5ème étage</t>
    </r>
  </si>
  <si>
    <r>
      <rPr>
        <sz val="11"/>
        <rFont val="Calibri"/>
        <family val="1"/>
      </rPr>
      <t>6ème et plus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</si>
</sst>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_);[Red]\(#,##0\ &quot;€&quot;\)"/>
  </numFmts>
  <fonts count="13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1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6"/>
      <color rgb="FF000000"/>
      <name val="Calibri"/>
      <family val="2"/>
    </font>
    <font>
      <sz val="16"/>
      <name val="Calibri"/>
      <family val="2"/>
    </font>
    <font>
      <sz val="100"/>
      <name val="Calibri"/>
      <family val="2"/>
    </font>
    <font>
      <sz val="11"/>
      <name val="Calibri"/>
      <family val="1"/>
    </font>
    <font>
      <b/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1" xfId="0" applyBorder="1" applyAlignment="1">
      <alignment horizontal="left" wrapText="1"/>
    </xf>
    <xf numFmtId="0" fontId="1" fillId="0" borderId="5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top" shrinkToFit="1"/>
    </xf>
    <xf numFmtId="0" fontId="4" fillId="0" borderId="5" xfId="0" applyFont="1" applyBorder="1" applyAlignment="1">
      <alignment horizontal="center" vertical="center" wrapText="1"/>
    </xf>
    <xf numFmtId="1" fontId="5" fillId="2" borderId="5" xfId="0" applyNumberFormat="1" applyFont="1" applyFill="1" applyBorder="1" applyAlignment="1">
      <alignment horizontal="center" vertical="top" shrinkToFit="1"/>
    </xf>
    <xf numFmtId="0" fontId="4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6" fillId="0" borderId="9" xfId="0" applyFont="1" applyBorder="1" applyAlignment="1">
      <alignment horizontal="left" vertical="top"/>
    </xf>
    <xf numFmtId="0" fontId="6" fillId="0" borderId="10" xfId="0" applyFont="1" applyBorder="1" applyAlignment="1">
      <alignment horizontal="left" vertical="top"/>
    </xf>
    <xf numFmtId="0" fontId="6" fillId="0" borderId="11" xfId="0" applyFont="1" applyBorder="1" applyAlignment="1">
      <alignment horizontal="left" vertical="top"/>
    </xf>
    <xf numFmtId="0" fontId="6" fillId="0" borderId="12" xfId="0" applyFont="1" applyBorder="1" applyAlignment="1">
      <alignment horizontal="left" vertical="top"/>
    </xf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164" fontId="6" fillId="0" borderId="16" xfId="0" applyNumberFormat="1" applyFont="1" applyBorder="1" applyAlignment="1">
      <alignment horizontal="left" vertical="top"/>
    </xf>
    <xf numFmtId="0" fontId="6" fillId="0" borderId="17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0" fontId="7" fillId="0" borderId="1" xfId="0" applyFont="1" applyBorder="1" applyAlignment="1">
      <alignment horizontal="left" wrapText="1"/>
    </xf>
    <xf numFmtId="0" fontId="2" fillId="0" borderId="5" xfId="0" applyFont="1" applyBorder="1" applyAlignment="1">
      <alignment horizontal="center" vertical="top" wrapText="1"/>
    </xf>
    <xf numFmtId="0" fontId="0" fillId="0" borderId="20" xfId="0" applyBorder="1" applyAlignment="1">
      <alignment horizontal="left" wrapText="1"/>
    </xf>
    <xf numFmtId="0" fontId="2" fillId="0" borderId="6" xfId="0" applyFont="1" applyBorder="1" applyAlignment="1">
      <alignment horizontal="center" vertical="top" wrapText="1"/>
    </xf>
    <xf numFmtId="0" fontId="4" fillId="0" borderId="2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3" fillId="0" borderId="6" xfId="0" applyNumberFormat="1" applyFont="1" applyBorder="1" applyAlignment="1">
      <alignment horizontal="center" vertical="top" shrinkToFit="1"/>
    </xf>
    <xf numFmtId="0" fontId="4" fillId="0" borderId="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top" wrapText="1"/>
    </xf>
    <xf numFmtId="1" fontId="5" fillId="0" borderId="5" xfId="0" applyNumberFormat="1" applyFont="1" applyBorder="1" applyAlignment="1">
      <alignment horizontal="right" vertical="top" shrinkToFit="1"/>
    </xf>
    <xf numFmtId="0" fontId="1" fillId="0" borderId="7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 shrinkToFit="1"/>
    </xf>
    <xf numFmtId="1" fontId="8" fillId="0" borderId="3" xfId="0" applyNumberFormat="1" applyFont="1" applyBorder="1" applyAlignment="1">
      <alignment horizontal="center" vertical="center" shrinkToFit="1"/>
    </xf>
    <xf numFmtId="1" fontId="8" fillId="0" borderId="4" xfId="0" applyNumberFormat="1" applyFont="1" applyBorder="1" applyAlignment="1">
      <alignment horizontal="center" vertical="center" shrinkToFit="1"/>
    </xf>
    <xf numFmtId="1" fontId="8" fillId="0" borderId="21" xfId="0" applyNumberFormat="1" applyFont="1" applyBorder="1" applyAlignment="1">
      <alignment horizontal="center" vertical="center" shrinkToFit="1"/>
    </xf>
    <xf numFmtId="1" fontId="8" fillId="0" borderId="0" xfId="0" applyNumberFormat="1" applyFont="1" applyAlignment="1">
      <alignment horizontal="center" vertical="center" shrinkToFit="1"/>
    </xf>
    <xf numFmtId="1" fontId="8" fillId="0" borderId="22" xfId="0" applyNumberFormat="1" applyFont="1" applyBorder="1" applyAlignment="1">
      <alignment horizontal="center" vertical="center" shrinkToFit="1"/>
    </xf>
    <xf numFmtId="1" fontId="8" fillId="0" borderId="19" xfId="0" applyNumberFormat="1" applyFont="1" applyBorder="1" applyAlignment="1">
      <alignment horizontal="center" vertical="center" shrinkToFit="1"/>
    </xf>
    <xf numFmtId="1" fontId="8" fillId="0" borderId="20" xfId="0" applyNumberFormat="1" applyFont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center" vertical="center" shrinkToFit="1"/>
    </xf>
    <xf numFmtId="0" fontId="1" fillId="0" borderId="7" xfId="0" applyFont="1" applyBorder="1" applyAlignment="1">
      <alignment horizontal="center" vertical="center" wrapText="1"/>
    </xf>
    <xf numFmtId="164" fontId="4" fillId="0" borderId="2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164" fontId="10" fillId="0" borderId="27" xfId="0" applyNumberFormat="1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 vertical="top"/>
    </xf>
    <xf numFmtId="0" fontId="1" fillId="0" borderId="35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164" fontId="9" fillId="0" borderId="27" xfId="0" applyNumberFormat="1" applyFont="1" applyBorder="1" applyAlignment="1">
      <alignment horizontal="center" vertical="center" wrapText="1"/>
    </xf>
    <xf numFmtId="164" fontId="9" fillId="0" borderId="28" xfId="0" applyNumberFormat="1" applyFont="1" applyBorder="1" applyAlignment="1">
      <alignment horizontal="center" vertical="center" wrapText="1"/>
    </xf>
    <xf numFmtId="164" fontId="9" fillId="0" borderId="29" xfId="0" applyNumberFormat="1" applyFont="1" applyBorder="1" applyAlignment="1">
      <alignment horizontal="center" vertical="center" wrapText="1"/>
    </xf>
    <xf numFmtId="164" fontId="9" fillId="0" borderId="30" xfId="0" applyNumberFormat="1" applyFont="1" applyBorder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164" fontId="9" fillId="0" borderId="31" xfId="0" applyNumberFormat="1" applyFont="1" applyBorder="1" applyAlignment="1">
      <alignment horizontal="center" vertical="center" wrapText="1"/>
    </xf>
    <xf numFmtId="164" fontId="9" fillId="0" borderId="32" xfId="0" applyNumberFormat="1" applyFont="1" applyBorder="1" applyAlignment="1">
      <alignment horizontal="center" vertical="center" wrapText="1"/>
    </xf>
    <xf numFmtId="164" fontId="9" fillId="0" borderId="33" xfId="0" applyNumberFormat="1" applyFont="1" applyBorder="1" applyAlignment="1">
      <alignment horizontal="center" vertical="center" wrapText="1"/>
    </xf>
    <xf numFmtId="164" fontId="9" fillId="0" borderId="3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EF4D6-9C34-E74E-9467-2F81CA059EC7}">
  <dimension ref="A1:O108"/>
  <sheetViews>
    <sheetView tabSelected="1" topLeftCell="A65" workbookViewId="0">
      <selection activeCell="C1" sqref="C1:C1048576"/>
    </sheetView>
  </sheetViews>
  <sheetFormatPr defaultColWidth="11" defaultRowHeight="15.95"/>
  <cols>
    <col min="1" max="1" width="26.375" customWidth="1"/>
    <col min="3" max="3" width="24.75" customWidth="1"/>
  </cols>
  <sheetData>
    <row r="1" spans="1:15">
      <c r="A1" s="1"/>
      <c r="B1" s="35" t="s">
        <v>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7"/>
    </row>
    <row r="2" spans="1:15">
      <c r="A2" s="2" t="s">
        <v>1</v>
      </c>
      <c r="B2" s="3">
        <v>5</v>
      </c>
      <c r="C2" s="3">
        <v>10</v>
      </c>
      <c r="D2" s="4">
        <v>15</v>
      </c>
      <c r="E2" s="5">
        <v>20</v>
      </c>
      <c r="F2" s="5">
        <v>25</v>
      </c>
      <c r="G2" s="6">
        <v>30</v>
      </c>
      <c r="H2" s="3">
        <v>40</v>
      </c>
      <c r="I2" s="3">
        <v>45</v>
      </c>
      <c r="J2" s="3">
        <v>50</v>
      </c>
      <c r="K2" s="3">
        <v>60</v>
      </c>
      <c r="L2" s="3">
        <v>70</v>
      </c>
      <c r="M2" s="3">
        <v>80</v>
      </c>
      <c r="N2" s="3">
        <v>90</v>
      </c>
      <c r="O2" s="3">
        <v>100</v>
      </c>
    </row>
    <row r="3" spans="1:15">
      <c r="A3" s="7" t="s">
        <v>2</v>
      </c>
      <c r="B3" s="8">
        <v>300</v>
      </c>
      <c r="C3" s="8">
        <v>450</v>
      </c>
      <c r="D3" s="8">
        <v>600</v>
      </c>
      <c r="E3" s="8">
        <v>780</v>
      </c>
      <c r="F3" s="8">
        <v>950</v>
      </c>
      <c r="G3" s="8">
        <v>1100</v>
      </c>
      <c r="H3" s="8">
        <v>1500</v>
      </c>
      <c r="I3" s="8">
        <v>1600</v>
      </c>
      <c r="J3" s="8">
        <v>1900</v>
      </c>
      <c r="K3" s="8">
        <v>2300</v>
      </c>
      <c r="L3" s="8">
        <v>2600</v>
      </c>
      <c r="M3" s="8">
        <v>2900</v>
      </c>
      <c r="N3" s="8">
        <v>3400</v>
      </c>
      <c r="O3" s="8">
        <v>3900</v>
      </c>
    </row>
    <row r="4" spans="1:15">
      <c r="A4" s="7" t="s">
        <v>3</v>
      </c>
      <c r="B4" s="8">
        <f>B3+200</f>
        <v>500</v>
      </c>
      <c r="C4" s="8">
        <f t="shared" ref="C4:G4" si="0">C3+200</f>
        <v>650</v>
      </c>
      <c r="D4" s="8">
        <f t="shared" si="0"/>
        <v>800</v>
      </c>
      <c r="E4" s="8">
        <f t="shared" si="0"/>
        <v>980</v>
      </c>
      <c r="F4" s="8">
        <f t="shared" si="0"/>
        <v>1150</v>
      </c>
      <c r="G4" s="8">
        <f t="shared" si="0"/>
        <v>1300</v>
      </c>
      <c r="H4" s="8">
        <f>H3+230</f>
        <v>1730</v>
      </c>
      <c r="I4" s="8">
        <f>I3+230</f>
        <v>1830</v>
      </c>
      <c r="J4" s="8">
        <f>J3+300</f>
        <v>2200</v>
      </c>
      <c r="K4" s="8">
        <f>K3+350</f>
        <v>2650</v>
      </c>
      <c r="L4" s="8">
        <f>L3+350</f>
        <v>2950</v>
      </c>
      <c r="M4" s="8">
        <f>M3+400</f>
        <v>3300</v>
      </c>
      <c r="N4" s="8">
        <f>N3+400</f>
        <v>3800</v>
      </c>
      <c r="O4" s="8">
        <f>O3+500</f>
        <v>4400</v>
      </c>
    </row>
    <row r="5" spans="1:15">
      <c r="A5" s="7" t="s">
        <v>4</v>
      </c>
      <c r="B5" s="8">
        <f>B4+500</f>
        <v>1000</v>
      </c>
      <c r="C5" s="8">
        <f t="shared" ref="C5:G5" si="1">C4+500</f>
        <v>1150</v>
      </c>
      <c r="D5" s="8">
        <f t="shared" si="1"/>
        <v>1300</v>
      </c>
      <c r="E5" s="8">
        <f t="shared" si="1"/>
        <v>1480</v>
      </c>
      <c r="F5" s="8">
        <f t="shared" si="1"/>
        <v>1650</v>
      </c>
      <c r="G5" s="8">
        <f t="shared" si="1"/>
        <v>1800</v>
      </c>
      <c r="H5" s="8">
        <f>H4+800</f>
        <v>2530</v>
      </c>
      <c r="I5" s="8">
        <f>I4+800</f>
        <v>2630</v>
      </c>
      <c r="J5" s="8">
        <v>2780</v>
      </c>
      <c r="K5" s="8">
        <v>2980</v>
      </c>
      <c r="L5" s="8">
        <v>3190</v>
      </c>
      <c r="M5" s="8">
        <v>3790</v>
      </c>
      <c r="N5" s="8">
        <v>4200</v>
      </c>
      <c r="O5" s="8">
        <v>5000</v>
      </c>
    </row>
    <row r="6" spans="1:15">
      <c r="A6" s="7" t="s">
        <v>5</v>
      </c>
      <c r="B6" s="8">
        <v>1400</v>
      </c>
      <c r="C6" s="8">
        <v>1450</v>
      </c>
      <c r="D6" s="8">
        <v>1500</v>
      </c>
      <c r="E6" s="8">
        <v>1700</v>
      </c>
      <c r="F6" s="8">
        <v>2000</v>
      </c>
      <c r="G6" s="8">
        <v>2050</v>
      </c>
      <c r="H6" s="8">
        <v>2800</v>
      </c>
      <c r="I6" s="8">
        <v>2850</v>
      </c>
      <c r="J6" s="8">
        <v>3000</v>
      </c>
      <c r="K6" s="8">
        <v>3500</v>
      </c>
      <c r="L6" s="8">
        <v>4200</v>
      </c>
      <c r="M6" s="8">
        <v>4500</v>
      </c>
      <c r="N6" s="8">
        <v>4700</v>
      </c>
      <c r="O6" s="8">
        <v>5700</v>
      </c>
    </row>
    <row r="7" spans="1:15">
      <c r="A7" s="7" t="s">
        <v>6</v>
      </c>
      <c r="B7" s="8">
        <v>1650</v>
      </c>
      <c r="C7" s="8">
        <v>1680</v>
      </c>
      <c r="D7" s="8">
        <v>1720</v>
      </c>
      <c r="E7" s="8">
        <v>1850</v>
      </c>
      <c r="F7" s="8">
        <f>+F6+150</f>
        <v>2150</v>
      </c>
      <c r="G7" s="8">
        <f t="shared" ref="G7:I7" si="2">+G6+150</f>
        <v>2200</v>
      </c>
      <c r="H7" s="8">
        <f t="shared" si="2"/>
        <v>2950</v>
      </c>
      <c r="I7" s="8">
        <f t="shared" si="2"/>
        <v>3000</v>
      </c>
      <c r="J7" s="8">
        <f>+J6+200</f>
        <v>3200</v>
      </c>
      <c r="K7" s="8">
        <f t="shared" ref="K7:M7" si="3">+K6+200</f>
        <v>3700</v>
      </c>
      <c r="L7" s="8">
        <f t="shared" si="3"/>
        <v>4400</v>
      </c>
      <c r="M7" s="8">
        <f t="shared" si="3"/>
        <v>4700</v>
      </c>
      <c r="N7" s="8">
        <f>+N6+300</f>
        <v>5000</v>
      </c>
      <c r="O7" s="8">
        <f>+O6+300</f>
        <v>6000</v>
      </c>
    </row>
    <row r="8" spans="1:15">
      <c r="A8" s="7" t="s">
        <v>7</v>
      </c>
      <c r="B8" s="8">
        <f>B7+150</f>
        <v>1800</v>
      </c>
      <c r="C8" s="8">
        <f t="shared" ref="C8:D8" si="4">C7+150</f>
        <v>1830</v>
      </c>
      <c r="D8" s="8">
        <f t="shared" si="4"/>
        <v>1870</v>
      </c>
      <c r="E8" s="8">
        <f>E7+200</f>
        <v>2050</v>
      </c>
      <c r="F8" s="8">
        <f t="shared" ref="F8:I8" si="5">F7+200</f>
        <v>2350</v>
      </c>
      <c r="G8" s="8">
        <f t="shared" si="5"/>
        <v>2400</v>
      </c>
      <c r="H8" s="8">
        <f t="shared" si="5"/>
        <v>3150</v>
      </c>
      <c r="I8" s="8">
        <f t="shared" si="5"/>
        <v>3200</v>
      </c>
      <c r="J8" s="8">
        <f>J7+300</f>
        <v>3500</v>
      </c>
      <c r="K8" s="8">
        <f t="shared" ref="K8:M8" si="6">K7+300</f>
        <v>4000</v>
      </c>
      <c r="L8" s="8">
        <f t="shared" si="6"/>
        <v>4700</v>
      </c>
      <c r="M8" s="8">
        <f t="shared" si="6"/>
        <v>5000</v>
      </c>
      <c r="N8" s="8">
        <f>N7+350</f>
        <v>5350</v>
      </c>
      <c r="O8" s="8">
        <f>O7+350</f>
        <v>6350</v>
      </c>
    </row>
    <row r="9" spans="1:15">
      <c r="A9" s="7" t="s">
        <v>8</v>
      </c>
      <c r="B9" s="8">
        <f>B8+50</f>
        <v>1850</v>
      </c>
      <c r="C9" s="8">
        <f t="shared" ref="C9:O9" si="7">C8+50</f>
        <v>1880</v>
      </c>
      <c r="D9" s="8">
        <f t="shared" si="7"/>
        <v>1920</v>
      </c>
      <c r="E9" s="8">
        <f t="shared" si="7"/>
        <v>2100</v>
      </c>
      <c r="F9" s="8">
        <f t="shared" si="7"/>
        <v>2400</v>
      </c>
      <c r="G9" s="8">
        <f t="shared" si="7"/>
        <v>2450</v>
      </c>
      <c r="H9" s="8">
        <f t="shared" si="7"/>
        <v>3200</v>
      </c>
      <c r="I9" s="8">
        <f t="shared" si="7"/>
        <v>3250</v>
      </c>
      <c r="J9" s="8">
        <f t="shared" si="7"/>
        <v>3550</v>
      </c>
      <c r="K9" s="8">
        <f t="shared" si="7"/>
        <v>4050</v>
      </c>
      <c r="L9" s="8">
        <f t="shared" si="7"/>
        <v>4750</v>
      </c>
      <c r="M9" s="8">
        <f t="shared" si="7"/>
        <v>5050</v>
      </c>
      <c r="N9" s="8">
        <f t="shared" si="7"/>
        <v>5400</v>
      </c>
      <c r="O9" s="8">
        <f t="shared" si="7"/>
        <v>6400</v>
      </c>
    </row>
    <row r="10" spans="1:15">
      <c r="A10" s="7" t="s">
        <v>9</v>
      </c>
      <c r="B10" s="8">
        <f>B9+100</f>
        <v>1950</v>
      </c>
      <c r="C10" s="8">
        <f t="shared" ref="C10:D10" si="8">C9+100</f>
        <v>1980</v>
      </c>
      <c r="D10" s="8">
        <f t="shared" si="8"/>
        <v>2020</v>
      </c>
      <c r="E10" s="8">
        <f>E9+300</f>
        <v>2400</v>
      </c>
      <c r="F10" s="8">
        <f t="shared" ref="F10:G10" si="9">F9+300</f>
        <v>2700</v>
      </c>
      <c r="G10" s="8">
        <f t="shared" si="9"/>
        <v>2750</v>
      </c>
      <c r="H10" s="8">
        <f>H9+400</f>
        <v>3600</v>
      </c>
      <c r="I10" s="8">
        <f t="shared" ref="I10:J10" si="10">I9+400</f>
        <v>3650</v>
      </c>
      <c r="J10" s="8">
        <f t="shared" si="10"/>
        <v>3950</v>
      </c>
      <c r="K10" s="8">
        <f>K9+600</f>
        <v>4650</v>
      </c>
      <c r="L10" s="8">
        <f t="shared" ref="L10:M10" si="11">L9+600</f>
        <v>5350</v>
      </c>
      <c r="M10" s="8">
        <f t="shared" si="11"/>
        <v>5650</v>
      </c>
      <c r="N10" s="8">
        <f>N9+1000</f>
        <v>6400</v>
      </c>
      <c r="O10" s="8">
        <f>O9+1000</f>
        <v>7400</v>
      </c>
    </row>
    <row r="11" spans="1:15">
      <c r="A11" s="7" t="s">
        <v>10</v>
      </c>
      <c r="B11" s="8">
        <v>2200</v>
      </c>
      <c r="C11" s="8">
        <v>2250</v>
      </c>
      <c r="D11" s="8">
        <v>2300</v>
      </c>
      <c r="E11" s="8">
        <v>3500</v>
      </c>
      <c r="F11" s="8">
        <v>3600</v>
      </c>
      <c r="G11" s="8">
        <v>3700</v>
      </c>
      <c r="H11" s="8">
        <v>4500</v>
      </c>
      <c r="I11" s="8">
        <v>4600</v>
      </c>
      <c r="J11" s="8">
        <v>4700</v>
      </c>
      <c r="K11" s="8">
        <v>5700</v>
      </c>
      <c r="L11" s="8">
        <v>6000</v>
      </c>
      <c r="M11" s="8">
        <v>7000</v>
      </c>
      <c r="N11" s="8">
        <v>9000</v>
      </c>
      <c r="O11" s="8">
        <v>10000</v>
      </c>
    </row>
    <row r="12" spans="1:15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4" spans="1:15" s="11" customFormat="1" ht="17.100000000000001" thickBot="1"/>
    <row r="15" spans="1:15" s="11" customFormat="1">
      <c r="C15" s="12" t="s">
        <v>11</v>
      </c>
      <c r="D15" s="13"/>
    </row>
    <row r="16" spans="1:15" s="11" customFormat="1">
      <c r="C16" s="14" t="s">
        <v>12</v>
      </c>
      <c r="D16" s="15" t="s">
        <v>13</v>
      </c>
    </row>
    <row r="17" spans="3:5" s="11" customFormat="1" ht="17.100000000000001" thickBot="1">
      <c r="C17" s="16" t="s">
        <v>14</v>
      </c>
      <c r="D17" s="17" t="s">
        <v>15</v>
      </c>
    </row>
    <row r="18" spans="3:5" s="11" customFormat="1"/>
    <row r="19" spans="3:5" s="11" customFormat="1" ht="17.100000000000001" thickBot="1"/>
    <row r="20" spans="3:5" s="11" customFormat="1">
      <c r="C20" s="12" t="s">
        <v>16</v>
      </c>
      <c r="D20" s="13" t="s">
        <v>17</v>
      </c>
    </row>
    <row r="21" spans="3:5" s="11" customFormat="1" ht="17.100000000000001" thickBot="1">
      <c r="C21" s="16"/>
      <c r="D21" s="17" t="s">
        <v>18</v>
      </c>
    </row>
    <row r="22" spans="3:5" s="11" customFormat="1"/>
    <row r="23" spans="3:5" s="11" customFormat="1" ht="17.100000000000001" thickBot="1"/>
    <row r="24" spans="3:5" s="11" customFormat="1" ht="17.100000000000001" thickBot="1">
      <c r="C24" s="18" t="s">
        <v>19</v>
      </c>
      <c r="D24" s="19">
        <v>150</v>
      </c>
    </row>
    <row r="25" spans="3:5" s="11" customFormat="1"/>
    <row r="26" spans="3:5" s="11" customFormat="1"/>
    <row r="27" spans="3:5" s="11" customFormat="1" ht="17.100000000000001" thickBot="1"/>
    <row r="28" spans="3:5" s="11" customFormat="1">
      <c r="C28" s="12" t="s">
        <v>20</v>
      </c>
      <c r="D28" s="20" t="s">
        <v>21</v>
      </c>
      <c r="E28" s="13"/>
    </row>
    <row r="29" spans="3:5" s="11" customFormat="1">
      <c r="C29" s="14"/>
      <c r="D29" s="21" t="s">
        <v>22</v>
      </c>
      <c r="E29" s="15"/>
    </row>
    <row r="30" spans="3:5" s="11" customFormat="1" ht="17.100000000000001" thickBot="1">
      <c r="C30" s="16"/>
      <c r="D30" s="22"/>
      <c r="E30" s="17"/>
    </row>
    <row r="31" spans="3:5" s="11" customFormat="1"/>
    <row r="32" spans="3:5" s="11" customFormat="1"/>
    <row r="33" spans="1:15" s="11" customFormat="1"/>
    <row r="34" spans="1:15" s="11" customFormat="1"/>
    <row r="35" spans="1:15" s="11" customFormat="1">
      <c r="A35" s="1"/>
      <c r="B35" s="35" t="s">
        <v>23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7"/>
    </row>
    <row r="36" spans="1:15" s="11" customFormat="1">
      <c r="A36" s="23" t="s">
        <v>0</v>
      </c>
      <c r="B36" s="3">
        <v>5</v>
      </c>
      <c r="C36" s="3">
        <v>10</v>
      </c>
      <c r="D36" s="4">
        <v>15</v>
      </c>
      <c r="E36" s="5">
        <v>20</v>
      </c>
      <c r="F36" s="5">
        <v>25</v>
      </c>
      <c r="G36" s="6">
        <v>30</v>
      </c>
      <c r="H36" s="3">
        <v>40</v>
      </c>
      <c r="I36" s="3">
        <v>45</v>
      </c>
      <c r="J36" s="3">
        <v>50</v>
      </c>
      <c r="K36" s="3">
        <v>60</v>
      </c>
      <c r="L36" s="3">
        <v>70</v>
      </c>
      <c r="M36" s="3">
        <v>80</v>
      </c>
      <c r="N36" s="3">
        <v>90</v>
      </c>
      <c r="O36" s="3">
        <v>100</v>
      </c>
    </row>
    <row r="37" spans="1:15" s="11" customFormat="1">
      <c r="A37" s="24" t="s">
        <v>24</v>
      </c>
      <c r="B37" s="38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40"/>
    </row>
    <row r="38" spans="1:15" s="11" customFormat="1">
      <c r="A38" s="7" t="s">
        <v>25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</row>
    <row r="39" spans="1:15" s="11" customFormat="1">
      <c r="A39" s="7" t="s">
        <v>26</v>
      </c>
      <c r="B39" s="8">
        <v>0</v>
      </c>
      <c r="C39" s="8">
        <v>60</v>
      </c>
      <c r="D39" s="8">
        <v>80</v>
      </c>
      <c r="E39" s="8">
        <v>100</v>
      </c>
      <c r="F39" s="8">
        <v>109</v>
      </c>
      <c r="G39" s="8">
        <v>109</v>
      </c>
      <c r="H39" s="8">
        <v>109</v>
      </c>
      <c r="I39" s="8">
        <v>109</v>
      </c>
      <c r="J39" s="8">
        <v>109</v>
      </c>
      <c r="K39" s="8">
        <v>109</v>
      </c>
      <c r="L39" s="8">
        <v>109</v>
      </c>
      <c r="M39" s="8">
        <v>109</v>
      </c>
      <c r="N39" s="8">
        <v>159</v>
      </c>
      <c r="O39" s="8">
        <v>189</v>
      </c>
    </row>
    <row r="40" spans="1:15" s="11" customFormat="1">
      <c r="A40" s="7" t="s">
        <v>27</v>
      </c>
      <c r="B40" s="8">
        <v>40</v>
      </c>
      <c r="C40" s="8">
        <v>80</v>
      </c>
      <c r="D40" s="8">
        <v>100</v>
      </c>
      <c r="E40" s="8">
        <v>120</v>
      </c>
      <c r="F40" s="8">
        <v>159</v>
      </c>
      <c r="G40" s="8">
        <v>159</v>
      </c>
      <c r="H40" s="8">
        <v>159</v>
      </c>
      <c r="I40" s="8">
        <v>159</v>
      </c>
      <c r="J40" s="8">
        <v>159</v>
      </c>
      <c r="K40" s="8">
        <v>159</v>
      </c>
      <c r="L40" s="8">
        <v>159</v>
      </c>
      <c r="M40" s="8">
        <v>159</v>
      </c>
      <c r="N40" s="8">
        <v>229</v>
      </c>
      <c r="O40" s="8">
        <v>259</v>
      </c>
    </row>
    <row r="41" spans="1:15" s="11" customFormat="1">
      <c r="A41" s="7" t="s">
        <v>28</v>
      </c>
      <c r="B41" s="8">
        <v>60</v>
      </c>
      <c r="C41" s="8">
        <v>100</v>
      </c>
      <c r="D41" s="8">
        <v>120</v>
      </c>
      <c r="E41" s="8">
        <v>140</v>
      </c>
      <c r="F41" s="8">
        <v>220</v>
      </c>
      <c r="G41" s="8">
        <v>220</v>
      </c>
      <c r="H41" s="8">
        <v>220</v>
      </c>
      <c r="I41" s="8">
        <v>220</v>
      </c>
      <c r="J41" s="8">
        <v>220</v>
      </c>
      <c r="K41" s="8">
        <v>220</v>
      </c>
      <c r="L41" s="8">
        <v>220</v>
      </c>
      <c r="M41" s="8">
        <v>220</v>
      </c>
      <c r="N41" s="8">
        <v>280</v>
      </c>
      <c r="O41" s="8">
        <v>320</v>
      </c>
    </row>
    <row r="42" spans="1:15" s="11" customFormat="1">
      <c r="A42" s="7" t="s">
        <v>29</v>
      </c>
      <c r="B42" s="8">
        <v>80</v>
      </c>
      <c r="C42" s="8">
        <v>120</v>
      </c>
      <c r="D42" s="8">
        <v>140</v>
      </c>
      <c r="E42" s="8">
        <v>160</v>
      </c>
      <c r="F42" s="8">
        <v>389</v>
      </c>
      <c r="G42" s="8">
        <v>389</v>
      </c>
      <c r="H42" s="8">
        <v>389</v>
      </c>
      <c r="I42" s="8">
        <v>389</v>
      </c>
      <c r="J42" s="8">
        <v>389</v>
      </c>
      <c r="K42" s="8">
        <v>389</v>
      </c>
      <c r="L42" s="8">
        <v>389</v>
      </c>
      <c r="M42" s="8">
        <v>429</v>
      </c>
      <c r="N42" s="8">
        <v>500</v>
      </c>
      <c r="O42" s="8">
        <v>600</v>
      </c>
    </row>
    <row r="43" spans="1:15" s="11" customFormat="1">
      <c r="A43" s="7" t="s">
        <v>30</v>
      </c>
      <c r="B43" s="8">
        <v>100</v>
      </c>
      <c r="C43" s="8">
        <v>140</v>
      </c>
      <c r="D43" s="8">
        <v>160</v>
      </c>
      <c r="E43" s="8">
        <v>180</v>
      </c>
      <c r="F43" s="8">
        <v>389</v>
      </c>
      <c r="G43" s="8">
        <v>389</v>
      </c>
      <c r="H43" s="8">
        <v>389</v>
      </c>
      <c r="I43" s="8">
        <v>389</v>
      </c>
      <c r="J43" s="8">
        <v>389</v>
      </c>
      <c r="K43" s="8">
        <v>389</v>
      </c>
      <c r="L43" s="8">
        <v>389</v>
      </c>
      <c r="M43" s="8">
        <v>429</v>
      </c>
      <c r="N43" s="8">
        <v>500</v>
      </c>
      <c r="O43" s="8">
        <v>600</v>
      </c>
    </row>
    <row r="44" spans="1:15" s="11" customFormat="1" ht="15" customHeight="1">
      <c r="A44" s="41" t="s">
        <v>31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3"/>
    </row>
    <row r="45" spans="1:15" s="11" customFormat="1" ht="15" customHeight="1">
      <c r="A45" s="44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6"/>
    </row>
    <row r="46" spans="1:15" s="11" customFormat="1" ht="15" customHeight="1">
      <c r="A46" s="47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9"/>
    </row>
    <row r="47" spans="1:15" s="11" customFormat="1"/>
    <row r="48" spans="1:15" s="11" customFormat="1"/>
    <row r="49" spans="1:15" s="11" customFormat="1"/>
    <row r="50" spans="1:15" s="11" customFormat="1"/>
    <row r="51" spans="1:15" s="11" customFormat="1">
      <c r="A51" s="1"/>
      <c r="B51" s="35" t="s">
        <v>32</v>
      </c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7"/>
    </row>
    <row r="52" spans="1:15" s="11" customFormat="1">
      <c r="A52" s="25"/>
      <c r="B52" s="34" t="s">
        <v>33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</row>
    <row r="53" spans="1:15" s="11" customFormat="1">
      <c r="A53" s="26" t="s">
        <v>0</v>
      </c>
      <c r="B53" s="50" t="s">
        <v>34</v>
      </c>
      <c r="C53" s="50"/>
      <c r="D53" s="50"/>
      <c r="E53" s="50" t="s">
        <v>35</v>
      </c>
      <c r="F53" s="50"/>
      <c r="G53" s="50"/>
      <c r="H53" s="50"/>
      <c r="I53" s="50" t="s">
        <v>36</v>
      </c>
      <c r="J53" s="50"/>
      <c r="K53" s="50"/>
      <c r="L53" s="5"/>
      <c r="M53" s="5"/>
      <c r="N53" s="5"/>
      <c r="O53" s="5"/>
    </row>
    <row r="54" spans="1:15" s="11" customFormat="1">
      <c r="A54" s="7">
        <v>5</v>
      </c>
      <c r="B54" s="51" t="s">
        <v>37</v>
      </c>
      <c r="C54" s="52"/>
      <c r="D54" s="53"/>
      <c r="E54" s="54" t="s">
        <v>38</v>
      </c>
      <c r="F54" s="52"/>
      <c r="G54" s="52"/>
      <c r="H54" s="53"/>
      <c r="I54" s="54" t="s">
        <v>39</v>
      </c>
      <c r="J54" s="52"/>
      <c r="K54" s="53"/>
      <c r="L54" s="27"/>
      <c r="M54" s="27"/>
      <c r="N54" s="27"/>
      <c r="O54" s="27"/>
    </row>
    <row r="55" spans="1:15" s="11" customFormat="1">
      <c r="A55" s="7">
        <v>10</v>
      </c>
      <c r="B55" s="54"/>
      <c r="C55" s="52"/>
      <c r="D55" s="53"/>
      <c r="E55" s="54"/>
      <c r="F55" s="52"/>
      <c r="G55" s="52"/>
      <c r="H55" s="53"/>
      <c r="I55" s="54"/>
      <c r="J55" s="52"/>
      <c r="K55" s="53"/>
      <c r="L55" s="8"/>
      <c r="M55" s="8"/>
      <c r="N55" s="8"/>
      <c r="O55" s="8"/>
    </row>
    <row r="56" spans="1:15" s="11" customFormat="1">
      <c r="A56" s="7">
        <v>15</v>
      </c>
      <c r="B56" s="54"/>
      <c r="C56" s="52"/>
      <c r="D56" s="53"/>
      <c r="E56" s="54"/>
      <c r="F56" s="52"/>
      <c r="G56" s="52"/>
      <c r="H56" s="53"/>
      <c r="I56" s="54"/>
      <c r="J56" s="52"/>
      <c r="K56" s="53"/>
      <c r="L56" s="8"/>
      <c r="M56" s="8"/>
      <c r="N56" s="8"/>
      <c r="O56" s="8"/>
    </row>
    <row r="57" spans="1:15" s="11" customFormat="1">
      <c r="A57" s="7">
        <v>20</v>
      </c>
      <c r="B57" s="54"/>
      <c r="C57" s="52"/>
      <c r="D57" s="53"/>
      <c r="E57" s="54"/>
      <c r="F57" s="52"/>
      <c r="G57" s="52"/>
      <c r="H57" s="53"/>
      <c r="I57" s="54"/>
      <c r="J57" s="52"/>
      <c r="K57" s="53"/>
      <c r="L57" s="8"/>
      <c r="M57" s="8"/>
      <c r="N57" s="8"/>
      <c r="O57" s="8"/>
    </row>
    <row r="58" spans="1:15" s="11" customFormat="1">
      <c r="A58" s="7">
        <v>25</v>
      </c>
      <c r="B58" s="54"/>
      <c r="C58" s="52"/>
      <c r="D58" s="53"/>
      <c r="E58" s="54"/>
      <c r="F58" s="52"/>
      <c r="G58" s="52"/>
      <c r="H58" s="53"/>
      <c r="I58" s="54"/>
      <c r="J58" s="52"/>
      <c r="K58" s="53"/>
      <c r="L58" s="8"/>
      <c r="M58" s="8"/>
      <c r="N58" s="8"/>
      <c r="O58" s="8"/>
    </row>
    <row r="59" spans="1:15" s="11" customFormat="1">
      <c r="A59" s="7">
        <v>30</v>
      </c>
      <c r="B59" s="55"/>
      <c r="C59" s="56"/>
      <c r="D59" s="57"/>
      <c r="E59" s="55"/>
      <c r="F59" s="56"/>
      <c r="G59" s="56"/>
      <c r="H59" s="57"/>
      <c r="I59" s="54"/>
      <c r="J59" s="52"/>
      <c r="K59" s="53"/>
      <c r="L59" s="8"/>
      <c r="M59" s="8"/>
      <c r="N59" s="8"/>
      <c r="O59" s="8"/>
    </row>
    <row r="60" spans="1:15" s="11" customFormat="1">
      <c r="A60" s="7">
        <v>40</v>
      </c>
      <c r="B60" s="58" t="s">
        <v>40</v>
      </c>
      <c r="C60" s="59"/>
      <c r="D60" s="60"/>
      <c r="E60" s="58" t="s">
        <v>41</v>
      </c>
      <c r="F60" s="59"/>
      <c r="G60" s="59"/>
      <c r="H60" s="60"/>
      <c r="I60" s="54"/>
      <c r="J60" s="52"/>
      <c r="K60" s="53"/>
      <c r="L60" s="8"/>
      <c r="M60" s="8"/>
      <c r="N60" s="8"/>
      <c r="O60" s="8"/>
    </row>
    <row r="61" spans="1:15" s="11" customFormat="1">
      <c r="A61" s="7">
        <v>45</v>
      </c>
      <c r="B61" s="54"/>
      <c r="C61" s="52"/>
      <c r="D61" s="53"/>
      <c r="E61" s="54"/>
      <c r="F61" s="52"/>
      <c r="G61" s="52"/>
      <c r="H61" s="53"/>
      <c r="I61" s="54"/>
      <c r="J61" s="52"/>
      <c r="K61" s="53"/>
      <c r="L61" s="8"/>
      <c r="M61" s="8"/>
      <c r="N61" s="8"/>
      <c r="O61" s="8"/>
    </row>
    <row r="62" spans="1:15" s="11" customFormat="1">
      <c r="A62" s="7">
        <v>50</v>
      </c>
      <c r="B62" s="54"/>
      <c r="C62" s="52"/>
      <c r="D62" s="53"/>
      <c r="E62" s="54"/>
      <c r="F62" s="52"/>
      <c r="G62" s="52"/>
      <c r="H62" s="53"/>
      <c r="I62" s="54"/>
      <c r="J62" s="52"/>
      <c r="K62" s="53"/>
      <c r="L62" s="8"/>
      <c r="M62" s="8"/>
      <c r="N62" s="8"/>
      <c r="O62" s="8"/>
    </row>
    <row r="63" spans="1:15" s="11" customFormat="1">
      <c r="A63" s="7">
        <v>60</v>
      </c>
      <c r="B63" s="54"/>
      <c r="C63" s="52"/>
      <c r="D63" s="53"/>
      <c r="E63" s="54"/>
      <c r="F63" s="52"/>
      <c r="G63" s="52"/>
      <c r="H63" s="53"/>
      <c r="I63" s="54"/>
      <c r="J63" s="52"/>
      <c r="K63" s="53"/>
      <c r="L63" s="8"/>
      <c r="M63" s="8"/>
      <c r="N63" s="8"/>
      <c r="O63" s="8"/>
    </row>
    <row r="64" spans="1:15" s="11" customFormat="1">
      <c r="A64" s="7">
        <v>70</v>
      </c>
      <c r="B64" s="54"/>
      <c r="C64" s="52"/>
      <c r="D64" s="53"/>
      <c r="E64" s="54"/>
      <c r="F64" s="52"/>
      <c r="G64" s="52"/>
      <c r="H64" s="53"/>
      <c r="I64" s="54"/>
      <c r="J64" s="52"/>
      <c r="K64" s="53"/>
      <c r="L64" s="8"/>
      <c r="M64" s="8"/>
      <c r="N64" s="8"/>
      <c r="O64" s="8"/>
    </row>
    <row r="65" spans="1:15" s="11" customFormat="1">
      <c r="A65" s="7">
        <v>80</v>
      </c>
      <c r="B65" s="54"/>
      <c r="C65" s="52"/>
      <c r="D65" s="53"/>
      <c r="E65" s="54"/>
      <c r="F65" s="52"/>
      <c r="G65" s="52"/>
      <c r="H65" s="53"/>
      <c r="I65" s="54"/>
      <c r="J65" s="52"/>
      <c r="K65" s="53"/>
      <c r="L65" s="8"/>
      <c r="M65" s="8"/>
      <c r="N65" s="8"/>
      <c r="O65" s="8"/>
    </row>
    <row r="66" spans="1:15" s="11" customFormat="1">
      <c r="A66" s="7">
        <v>90</v>
      </c>
      <c r="B66" s="54"/>
      <c r="C66" s="52"/>
      <c r="D66" s="53"/>
      <c r="E66" s="54"/>
      <c r="F66" s="52"/>
      <c r="G66" s="52"/>
      <c r="H66" s="53"/>
      <c r="I66" s="54"/>
      <c r="J66" s="52"/>
      <c r="K66" s="53"/>
      <c r="L66" s="8"/>
      <c r="M66" s="8"/>
      <c r="N66" s="8"/>
      <c r="O66" s="8"/>
    </row>
    <row r="67" spans="1:15" s="11" customFormat="1">
      <c r="A67" s="7">
        <v>100</v>
      </c>
      <c r="B67" s="55"/>
      <c r="C67" s="56"/>
      <c r="D67" s="57"/>
      <c r="E67" s="55"/>
      <c r="F67" s="56"/>
      <c r="G67" s="56"/>
      <c r="H67" s="57"/>
      <c r="I67" s="55"/>
      <c r="J67" s="56"/>
      <c r="K67" s="57"/>
      <c r="L67" s="8"/>
      <c r="M67" s="8"/>
      <c r="N67" s="8"/>
      <c r="O67" s="8"/>
    </row>
    <row r="68" spans="1:15" s="11" customFormat="1"/>
    <row r="69" spans="1:15" s="11" customFormat="1"/>
    <row r="70" spans="1:15" s="11" customFormat="1"/>
    <row r="71" spans="1:15" s="11" customFormat="1">
      <c r="A71" s="1"/>
      <c r="B71" s="35" t="s">
        <v>42</v>
      </c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7"/>
    </row>
    <row r="72" spans="1:15" s="11" customFormat="1">
      <c r="A72" s="25"/>
      <c r="B72" s="34" t="s">
        <v>43</v>
      </c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</row>
    <row r="73" spans="1:15" s="11" customFormat="1">
      <c r="A73" s="26" t="s">
        <v>0</v>
      </c>
      <c r="B73" s="50" t="s">
        <v>44</v>
      </c>
      <c r="C73" s="50"/>
      <c r="D73" s="50"/>
      <c r="E73" s="50" t="s">
        <v>45</v>
      </c>
      <c r="F73" s="50"/>
      <c r="G73" s="50"/>
      <c r="H73" s="50"/>
      <c r="I73" s="50" t="s">
        <v>46</v>
      </c>
      <c r="J73" s="50"/>
      <c r="K73" s="50"/>
      <c r="L73" s="61" t="s">
        <v>47</v>
      </c>
      <c r="M73" s="62"/>
      <c r="N73" s="63"/>
      <c r="O73" s="5"/>
    </row>
    <row r="74" spans="1:15" s="11" customFormat="1" ht="15" customHeight="1">
      <c r="A74" s="29">
        <v>5</v>
      </c>
      <c r="B74" s="78" t="s">
        <v>48</v>
      </c>
      <c r="C74" s="79"/>
      <c r="D74" s="80"/>
      <c r="E74" s="73">
        <v>0</v>
      </c>
      <c r="F74" s="73"/>
      <c r="G74" s="73"/>
      <c r="H74" s="73"/>
      <c r="I74" s="73">
        <v>0</v>
      </c>
      <c r="J74" s="73"/>
      <c r="K74" s="73"/>
      <c r="L74" s="64">
        <v>0</v>
      </c>
      <c r="M74" s="65"/>
      <c r="N74" s="66"/>
      <c r="O74" s="28"/>
    </row>
    <row r="75" spans="1:15" s="11" customFormat="1">
      <c r="A75" s="29">
        <v>10</v>
      </c>
      <c r="B75" s="81"/>
      <c r="C75" s="82"/>
      <c r="D75" s="83"/>
      <c r="E75" s="73">
        <v>0</v>
      </c>
      <c r="F75" s="73"/>
      <c r="G75" s="73"/>
      <c r="H75" s="73"/>
      <c r="I75" s="73">
        <v>0</v>
      </c>
      <c r="J75" s="73"/>
      <c r="K75" s="73"/>
      <c r="L75" s="67"/>
      <c r="M75" s="68"/>
      <c r="N75" s="69"/>
      <c r="O75" s="30"/>
    </row>
    <row r="76" spans="1:15" s="11" customFormat="1">
      <c r="A76" s="29">
        <v>15</v>
      </c>
      <c r="B76" s="81"/>
      <c r="C76" s="82"/>
      <c r="D76" s="83"/>
      <c r="E76" s="73">
        <v>0</v>
      </c>
      <c r="F76" s="73"/>
      <c r="G76" s="73"/>
      <c r="H76" s="73"/>
      <c r="I76" s="73">
        <v>0</v>
      </c>
      <c r="J76" s="73"/>
      <c r="K76" s="73"/>
      <c r="L76" s="67"/>
      <c r="M76" s="68"/>
      <c r="N76" s="69"/>
      <c r="O76" s="30"/>
    </row>
    <row r="77" spans="1:15" s="11" customFormat="1">
      <c r="A77" s="29">
        <v>20</v>
      </c>
      <c r="B77" s="81"/>
      <c r="C77" s="82"/>
      <c r="D77" s="83"/>
      <c r="E77" s="73">
        <v>70</v>
      </c>
      <c r="F77" s="73"/>
      <c r="G77" s="73"/>
      <c r="H77" s="73"/>
      <c r="I77" s="73">
        <v>50</v>
      </c>
      <c r="J77" s="73"/>
      <c r="K77" s="73"/>
      <c r="L77" s="67"/>
      <c r="M77" s="68"/>
      <c r="N77" s="69"/>
      <c r="O77" s="30"/>
    </row>
    <row r="78" spans="1:15" s="11" customFormat="1">
      <c r="A78" s="29">
        <v>25</v>
      </c>
      <c r="B78" s="81"/>
      <c r="C78" s="82"/>
      <c r="D78" s="83"/>
      <c r="E78" s="73">
        <v>70</v>
      </c>
      <c r="F78" s="73"/>
      <c r="G78" s="73"/>
      <c r="H78" s="73"/>
      <c r="I78" s="73">
        <v>50</v>
      </c>
      <c r="J78" s="73"/>
      <c r="K78" s="73"/>
      <c r="L78" s="67"/>
      <c r="M78" s="68"/>
      <c r="N78" s="69"/>
      <c r="O78" s="30"/>
    </row>
    <row r="79" spans="1:15" s="11" customFormat="1">
      <c r="A79" s="29">
        <v>30</v>
      </c>
      <c r="B79" s="81"/>
      <c r="C79" s="82"/>
      <c r="D79" s="83"/>
      <c r="E79" s="73">
        <v>70</v>
      </c>
      <c r="F79" s="73"/>
      <c r="G79" s="73"/>
      <c r="H79" s="73"/>
      <c r="I79" s="73">
        <v>50</v>
      </c>
      <c r="J79" s="73"/>
      <c r="K79" s="73"/>
      <c r="L79" s="67"/>
      <c r="M79" s="68"/>
      <c r="N79" s="69"/>
      <c r="O79" s="30"/>
    </row>
    <row r="80" spans="1:15" s="11" customFormat="1" ht="15" customHeight="1">
      <c r="A80" s="29">
        <v>40</v>
      </c>
      <c r="B80" s="81"/>
      <c r="C80" s="82"/>
      <c r="D80" s="83"/>
      <c r="E80" s="73">
        <v>120</v>
      </c>
      <c r="F80" s="73"/>
      <c r="G80" s="73"/>
      <c r="H80" s="73"/>
      <c r="I80" s="73">
        <v>80</v>
      </c>
      <c r="J80" s="73"/>
      <c r="K80" s="73"/>
      <c r="L80" s="67"/>
      <c r="M80" s="68"/>
      <c r="N80" s="69"/>
      <c r="O80" s="30"/>
    </row>
    <row r="81" spans="1:15" s="11" customFormat="1">
      <c r="A81" s="29">
        <v>45</v>
      </c>
      <c r="B81" s="81"/>
      <c r="C81" s="82"/>
      <c r="D81" s="83"/>
      <c r="E81" s="73">
        <v>120</v>
      </c>
      <c r="F81" s="73"/>
      <c r="G81" s="73"/>
      <c r="H81" s="73"/>
      <c r="I81" s="73">
        <v>80</v>
      </c>
      <c r="J81" s="73"/>
      <c r="K81" s="73"/>
      <c r="L81" s="67"/>
      <c r="M81" s="68"/>
      <c r="N81" s="69"/>
      <c r="O81" s="30"/>
    </row>
    <row r="82" spans="1:15" s="11" customFormat="1">
      <c r="A82" s="29">
        <v>50</v>
      </c>
      <c r="B82" s="81"/>
      <c r="C82" s="82"/>
      <c r="D82" s="83"/>
      <c r="E82" s="73">
        <v>180</v>
      </c>
      <c r="F82" s="73"/>
      <c r="G82" s="73"/>
      <c r="H82" s="73"/>
      <c r="I82" s="73">
        <v>120</v>
      </c>
      <c r="J82" s="73"/>
      <c r="K82" s="73"/>
      <c r="L82" s="67"/>
      <c r="M82" s="68"/>
      <c r="N82" s="69"/>
      <c r="O82" s="30"/>
    </row>
    <row r="83" spans="1:15" s="11" customFormat="1">
      <c r="A83" s="29">
        <v>60</v>
      </c>
      <c r="B83" s="81"/>
      <c r="C83" s="82"/>
      <c r="D83" s="83"/>
      <c r="E83" s="73">
        <v>180</v>
      </c>
      <c r="F83" s="73"/>
      <c r="G83" s="73"/>
      <c r="H83" s="73"/>
      <c r="I83" s="73">
        <v>120</v>
      </c>
      <c r="J83" s="73"/>
      <c r="K83" s="73"/>
      <c r="L83" s="67"/>
      <c r="M83" s="68"/>
      <c r="N83" s="69"/>
      <c r="O83" s="30"/>
    </row>
    <row r="84" spans="1:15" s="11" customFormat="1">
      <c r="A84" s="29">
        <v>70</v>
      </c>
      <c r="B84" s="81"/>
      <c r="C84" s="82"/>
      <c r="D84" s="83"/>
      <c r="E84" s="73">
        <v>180</v>
      </c>
      <c r="F84" s="73"/>
      <c r="G84" s="73"/>
      <c r="H84" s="73"/>
      <c r="I84" s="73">
        <v>120</v>
      </c>
      <c r="J84" s="73"/>
      <c r="K84" s="73"/>
      <c r="L84" s="67"/>
      <c r="M84" s="68"/>
      <c r="N84" s="69"/>
      <c r="O84" s="30"/>
    </row>
    <row r="85" spans="1:15" s="11" customFormat="1">
      <c r="A85" s="29">
        <v>80</v>
      </c>
      <c r="B85" s="81"/>
      <c r="C85" s="82"/>
      <c r="D85" s="83"/>
      <c r="E85" s="73">
        <v>300</v>
      </c>
      <c r="F85" s="73"/>
      <c r="G85" s="73"/>
      <c r="H85" s="73"/>
      <c r="I85" s="73">
        <v>180</v>
      </c>
      <c r="J85" s="73"/>
      <c r="K85" s="73"/>
      <c r="L85" s="67"/>
      <c r="M85" s="68"/>
      <c r="N85" s="69"/>
      <c r="O85" s="30"/>
    </row>
    <row r="86" spans="1:15" s="11" customFormat="1">
      <c r="A86" s="29">
        <v>90</v>
      </c>
      <c r="B86" s="81"/>
      <c r="C86" s="82"/>
      <c r="D86" s="83"/>
      <c r="E86" s="73">
        <v>400</v>
      </c>
      <c r="F86" s="73"/>
      <c r="G86" s="73"/>
      <c r="H86" s="73"/>
      <c r="I86" s="73">
        <v>220</v>
      </c>
      <c r="J86" s="73"/>
      <c r="K86" s="73"/>
      <c r="L86" s="67"/>
      <c r="M86" s="68"/>
      <c r="N86" s="69"/>
      <c r="O86" s="30"/>
    </row>
    <row r="87" spans="1:15" s="11" customFormat="1">
      <c r="A87" s="29">
        <v>100</v>
      </c>
      <c r="B87" s="84"/>
      <c r="C87" s="85"/>
      <c r="D87" s="86"/>
      <c r="E87" s="73">
        <v>500</v>
      </c>
      <c r="F87" s="73"/>
      <c r="G87" s="73"/>
      <c r="H87" s="73"/>
      <c r="I87" s="73">
        <v>300</v>
      </c>
      <c r="J87" s="73"/>
      <c r="K87" s="73"/>
      <c r="L87" s="70"/>
      <c r="M87" s="71"/>
      <c r="N87" s="72"/>
      <c r="O87" s="30"/>
    </row>
    <row r="88" spans="1:15" s="11" customFormat="1"/>
    <row r="89" spans="1:15" s="11" customFormat="1">
      <c r="C89" s="74" t="s">
        <v>49</v>
      </c>
      <c r="D89" s="74"/>
      <c r="E89" s="74"/>
    </row>
    <row r="90" spans="1:15" s="11" customFormat="1">
      <c r="C90" s="74"/>
      <c r="D90" s="74"/>
      <c r="E90" s="74"/>
    </row>
    <row r="91" spans="1:15" s="11" customFormat="1"/>
    <row r="92" spans="1:15" s="11" customFormat="1">
      <c r="A92" s="75"/>
      <c r="B92" s="75"/>
      <c r="C92" s="75"/>
      <c r="D92" s="75"/>
    </row>
    <row r="93" spans="1:15" s="11" customFormat="1">
      <c r="A93" s="31"/>
      <c r="B93" s="76"/>
      <c r="C93" s="76"/>
      <c r="D93" s="76"/>
      <c r="F93" s="32" t="s">
        <v>50</v>
      </c>
      <c r="G93" s="32" t="s">
        <v>51</v>
      </c>
    </row>
    <row r="94" spans="1:15" s="11" customFormat="1" ht="15" customHeight="1">
      <c r="A94" s="29"/>
      <c r="B94" s="77"/>
      <c r="C94" s="73"/>
      <c r="D94" s="73"/>
      <c r="F94" s="32" t="s">
        <v>52</v>
      </c>
      <c r="G94" s="33"/>
    </row>
    <row r="95" spans="1:15" s="11" customFormat="1" ht="15" customHeight="1">
      <c r="A95" s="29"/>
      <c r="B95" s="77"/>
      <c r="C95" s="73"/>
      <c r="D95" s="73"/>
      <c r="F95" s="32" t="s">
        <v>53</v>
      </c>
      <c r="G95" s="33"/>
    </row>
    <row r="96" spans="1:15" s="11" customFormat="1" ht="15" customHeight="1">
      <c r="A96" s="29"/>
      <c r="B96" s="77"/>
      <c r="C96" s="73"/>
      <c r="D96" s="73"/>
      <c r="F96" s="32" t="s">
        <v>54</v>
      </c>
      <c r="G96" s="33">
        <v>6</v>
      </c>
    </row>
    <row r="97" spans="1:7" s="11" customFormat="1" ht="15" customHeight="1">
      <c r="A97" s="29"/>
      <c r="B97" s="73"/>
      <c r="C97" s="73"/>
      <c r="D97" s="73"/>
      <c r="F97" s="32" t="s">
        <v>55</v>
      </c>
      <c r="G97" s="33">
        <v>7.5</v>
      </c>
    </row>
    <row r="98" spans="1:7" s="11" customFormat="1" ht="15" customHeight="1">
      <c r="A98" s="29"/>
      <c r="B98" s="73"/>
      <c r="C98" s="73"/>
      <c r="D98" s="73"/>
      <c r="F98" s="32" t="s">
        <v>56</v>
      </c>
      <c r="G98" s="33">
        <v>10</v>
      </c>
    </row>
    <row r="99" spans="1:7" s="11" customFormat="1" ht="15" customHeight="1">
      <c r="A99" s="29"/>
      <c r="B99" s="73"/>
      <c r="C99" s="73"/>
      <c r="D99" s="73"/>
      <c r="F99" s="32" t="s">
        <v>57</v>
      </c>
      <c r="G99" s="33">
        <v>11</v>
      </c>
    </row>
    <row r="100" spans="1:7" s="11" customFormat="1" ht="15" customHeight="1">
      <c r="A100" s="29"/>
      <c r="B100" s="73"/>
      <c r="C100" s="73"/>
      <c r="D100" s="73"/>
    </row>
    <row r="101" spans="1:7" s="11" customFormat="1" ht="15" customHeight="1">
      <c r="A101" s="29"/>
      <c r="B101" s="73"/>
      <c r="C101" s="73"/>
      <c r="D101" s="73"/>
    </row>
    <row r="102" spans="1:7" s="11" customFormat="1" ht="15" customHeight="1">
      <c r="A102" s="29"/>
      <c r="B102" s="73"/>
      <c r="C102" s="73"/>
      <c r="D102" s="73"/>
    </row>
    <row r="103" spans="1:7" s="11" customFormat="1" ht="15" customHeight="1">
      <c r="A103" s="29"/>
      <c r="B103" s="73"/>
      <c r="C103" s="73"/>
      <c r="D103" s="73"/>
    </row>
    <row r="104" spans="1:7" s="11" customFormat="1" ht="15" customHeight="1">
      <c r="A104" s="29"/>
      <c r="B104" s="73"/>
      <c r="C104" s="73"/>
      <c r="D104" s="73"/>
    </row>
    <row r="105" spans="1:7" s="11" customFormat="1" ht="15" customHeight="1">
      <c r="A105" s="29"/>
      <c r="B105" s="73"/>
      <c r="C105" s="73"/>
      <c r="D105" s="73"/>
    </row>
    <row r="106" spans="1:7" s="11" customFormat="1" ht="15" customHeight="1">
      <c r="A106" s="29"/>
      <c r="B106" s="73"/>
      <c r="C106" s="73"/>
      <c r="D106" s="73"/>
    </row>
    <row r="107" spans="1:7" s="11" customFormat="1" ht="15" customHeight="1">
      <c r="A107" s="29"/>
      <c r="B107" s="73"/>
      <c r="C107" s="73"/>
      <c r="D107" s="73"/>
    </row>
    <row r="108" spans="1:7" s="11" customFormat="1"/>
  </sheetData>
  <mergeCells count="67">
    <mergeCell ref="B97:D97"/>
    <mergeCell ref="B98:D98"/>
    <mergeCell ref="B99:D99"/>
    <mergeCell ref="B107:D107"/>
    <mergeCell ref="B101:D101"/>
    <mergeCell ref="B102:D102"/>
    <mergeCell ref="B103:D103"/>
    <mergeCell ref="B104:D104"/>
    <mergeCell ref="B105:D105"/>
    <mergeCell ref="B106:D106"/>
    <mergeCell ref="E85:H85"/>
    <mergeCell ref="I85:K85"/>
    <mergeCell ref="E86:H86"/>
    <mergeCell ref="I86:K86"/>
    <mergeCell ref="B100:D100"/>
    <mergeCell ref="E87:H87"/>
    <mergeCell ref="I87:K87"/>
    <mergeCell ref="C89:E90"/>
    <mergeCell ref="A92:D92"/>
    <mergeCell ref="B93:D93"/>
    <mergeCell ref="B94:D94"/>
    <mergeCell ref="B74:D87"/>
    <mergeCell ref="E74:H74"/>
    <mergeCell ref="I74:K74"/>
    <mergeCell ref="B95:D95"/>
    <mergeCell ref="B96:D96"/>
    <mergeCell ref="I82:K82"/>
    <mergeCell ref="E83:H83"/>
    <mergeCell ref="I83:K83"/>
    <mergeCell ref="E84:H84"/>
    <mergeCell ref="I84:K84"/>
    <mergeCell ref="L74:N87"/>
    <mergeCell ref="E75:H75"/>
    <mergeCell ref="I75:K75"/>
    <mergeCell ref="E76:H76"/>
    <mergeCell ref="I76:K76"/>
    <mergeCell ref="E77:H77"/>
    <mergeCell ref="I77:K77"/>
    <mergeCell ref="E78:H78"/>
    <mergeCell ref="I78:K78"/>
    <mergeCell ref="E79:H79"/>
    <mergeCell ref="I79:K79"/>
    <mergeCell ref="E80:H80"/>
    <mergeCell ref="I80:K80"/>
    <mergeCell ref="E81:H81"/>
    <mergeCell ref="I81:K81"/>
    <mergeCell ref="E82:H82"/>
    <mergeCell ref="B71:O71"/>
    <mergeCell ref="B72:O72"/>
    <mergeCell ref="B73:D73"/>
    <mergeCell ref="E73:H73"/>
    <mergeCell ref="I73:K73"/>
    <mergeCell ref="L73:N73"/>
    <mergeCell ref="B53:D53"/>
    <mergeCell ref="E53:H53"/>
    <mergeCell ref="I53:K53"/>
    <mergeCell ref="B54:D59"/>
    <mergeCell ref="E54:H59"/>
    <mergeCell ref="I54:K67"/>
    <mergeCell ref="B60:D67"/>
    <mergeCell ref="E60:H67"/>
    <mergeCell ref="B52:O52"/>
    <mergeCell ref="B1:O1"/>
    <mergeCell ref="B35:O35"/>
    <mergeCell ref="B37:O37"/>
    <mergeCell ref="A44:O46"/>
    <mergeCell ref="B51:O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El Asad</dc:creator>
  <cp:keywords/>
  <dc:description/>
  <cp:lastModifiedBy>Abderrahim ALOUINI</cp:lastModifiedBy>
  <cp:revision/>
  <dcterms:created xsi:type="dcterms:W3CDTF">2026-02-09T15:36:23Z</dcterms:created>
  <dcterms:modified xsi:type="dcterms:W3CDTF">2026-02-10T08:13:06Z</dcterms:modified>
  <cp:category/>
  <cp:contentStatus/>
</cp:coreProperties>
</file>